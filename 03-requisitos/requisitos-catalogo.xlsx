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5"/>
    <sheet state="visible" name="Catálogo" sheetId="2" r:id="rId6"/>
    <sheet state="visible" name="Trazabilidad" sheetId="3" r:id="rId7"/>
    <sheet state="visible" name="Entidades" sheetId="4" r:id="rId8"/>
    <sheet state="visible" name="Reglas" sheetId="5" r:id="rId9"/>
    <sheet state="visible" name="Glosario" sheetId="6" r:id="rId10"/>
    <sheet state="visible" name="Iteraciones" sheetId="7" r:id="rId11"/>
    <sheet state="visible" name="Recursos" sheetId="8" r:id="rId12"/>
    <sheet state="visible" name="Panel"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El conjunto de los requisitos «Must» debe coincidir exactamente con el producto mínimo viable descrito en el apartado V.5.</t>
      </text>
    </comment>
    <comment authorId="0" ref="G4">
      <text>
        <t xml:space="preserve">Condición inicial, acción y resultado observable con valores. Un adjetivo no es un criterio de aceptación.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Semana 6 (actual, 22/09/2026) a Semana 14 (versión congelada), ambas inclusive: 9 semanas. Es el horizonte de planificación de las iteraciones definidas en esta hoja, no la duración total de la materia desde el inicio de clases.</t>
      </text>
    </comment>
    <comment authorId="0" ref="B17">
      <text>
        <t xml:space="preserve">Estimación declarada por la autora («puedo dedicarle bastantes horas»), sin una cifra de horas/semana ya fijada por ella al momento de redactar este libro. Ajustar este número si la dedicación real difiere — el resto de la hoja (presupuesto, margen, y la fila «Humanos» de Recursos) se recalcula solo.</t>
      </text>
    </comment>
    <comment authorId="0" ref="B27">
      <text>
        <t xml:space="preserve">No se tuvo a la vista un «acta de constitución» del proyecto con un criterio de redistribución ya definido; este criterio se redactó por coherencia directa con la priorización MoSCoW del Catálogo. Reemplazar por el criterio real del acta si existe uno.</t>
      </text>
    </comment>
    <comment authorId="0" ref="B5">
      <text>
        <t xml:space="preserve">Las fechas se expresan como número de semana del cuatrimestre (Semana 1 = 13/08/2026, inicio de clases de la Comisión A) y no como fechas de calendario, porque al 22/09/2026 (Semana 6) todavía no hay una fecha de cierre de cuatrimestre confirmada más allá de la cadencia v1/v2/v3/congelada. Semana 8 coincide con la entrega de esta AE2 (01/10/2026).</t>
      </text>
    </comment>
    <comment authorId="0" ref="B20">
      <text>
        <t xml:space="preserve">Estimación propia: no se contó con el calendario de parciales de la autora ni con feriados dentro de la ventana Semana 6-14. Se reserva un margen de 15 horas por posibles solapamientos con evaluaciones de otras materias. Ajustar si se cuenta con información más precisa.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El dato trazable más reciente es del Reporte OPSSI (CESSI) del primer trimestre de 2026, publicado en abril de 2026: salario bruto promedio del sector software en Argentina, marzo 2026, $3.738.000/mes.
Convertí ese valor a costo por hora, usando 173 horas mensuales (jornada legal estándar, 8h × 21,67 días):
$3.738.000 ÷ 173 ≈ $21.600/hora (orden de magnitud)</t>
      </text>
    </comment>
    <comment authorId="0" ref="A2">
      <text>
        <t xml:space="preserve">Esta hoja solo incluye la clase «Humanos» porque es la única con una cifra que la autora puede sostener y citar en esta etapa (o dejar pendiente de fuente, ver E5). Si hay costos reales de hosting, dominio, pasarela de pagos u otra licencia tecnológica, agregar una fila por concepto en la clase «Tecnológicos», citando el proveedor y el período de la tarifa; no se completaron acá para no inventar cifras sin fuente.</t>
      </text>
    </comment>
  </commentList>
</comments>
</file>

<file path=xl/sharedStrings.xml><?xml version="1.0" encoding="utf-8"?>
<sst xmlns="http://schemas.openxmlformats.org/spreadsheetml/2006/main" count="661" uniqueCount="481">
  <si>
    <t>Matriz de trazabilidad · hallazgo de la AE1 → requisito</t>
  </si>
  <si>
    <t>Catálogo de requisitos · apartado III.5 del informe</t>
  </si>
  <si>
    <t>Libro de trabajo de la AE2 · Proyecto Final de Grado 2026</t>
  </si>
  <si>
    <t>Lista filtrada de entidades del dominio · Instrumento 28</t>
  </si>
  <si>
    <t>Se verifica en doble vía. Todo requisito llega a un hallazgo; todo hallazgo llega a un requisito o a una justificación expresa de por qué no derivó ninguno. El silencio no es una decisión.</t>
  </si>
  <si>
    <t>Una fila por requisito, con los seis campos completos. Regla de cómputo: un requisito sin criterio de aceptación comprobable no se computa, por bien redactado que esté. Antes de cerrar una fila, aplique la prueba del compañero: otro integrante debe poder decir, en diez segundos, cómo verificaría el requisito.</t>
  </si>
  <si>
    <t>Universidad de la Cuenca del Plata · Ingeniería en Sistemas de Información · Comisión A · Sede Posadas · Docente Titular: PosDr. Darío Ezequiel Díaz · ISI-PFG-2026C2-AE2-v02</t>
  </si>
  <si>
    <t>Cada candidata pasa por el filtro de las tres preguntas. Las descartadas no se borran: se reclasifican, porque los descartes de hoy son las preguntas del glosario de mañana.</t>
  </si>
  <si>
    <t>ID</t>
  </si>
  <si>
    <t>Para qué sirve este libro</t>
  </si>
  <si>
    <t>Código (H-01, H-02…)</t>
  </si>
  <si>
    <t>Candidata (sustantivo de la organización)</t>
  </si>
  <si>
    <t>Enunciado</t>
  </si>
  <si>
    <t>Tipo</t>
  </si>
  <si>
    <t>Categoría (si es no funcional)</t>
  </si>
  <si>
    <t>Prioridad</t>
  </si>
  <si>
    <t>Motivo de la prioridad</t>
  </si>
  <si>
    <t>Criterio de aceptación (condición, acción, resultado con valores)</t>
  </si>
  <si>
    <t>Trazabilidad (H-xx o acta)</t>
  </si>
  <si>
    <t>Estado de validación</t>
  </si>
  <si>
    <t>Iteración prevista</t>
  </si>
  <si>
    <t>¿Integra el MVP?</t>
  </si>
  <si>
    <t>Control de completitud</t>
  </si>
  <si>
    <t>RF-01</t>
  </si>
  <si>
    <t>El sistema no permite confirmar la reserva de un turno si la profesional seleccionada ya tiene otro turno activo (no cancelado) en el mismo rango horario.</t>
  </si>
  <si>
    <t>Funcional</t>
  </si>
  <si>
    <t>Must</t>
  </si>
  <si>
    <t>Es el «primer requisito derivado» explícito del informe (Cap. I.3) y la condición central de éxito del proyecto: reducir a 0 las superposiciones de turno.</t>
  </si>
  <si>
    <t>Reúne, en un solo archivo versionable, los instrumentos de la Unidad Dos que producen el Capítulo III y alimentan los Capítulos V y X: el catálogo de requisitos, la matriz de trazabilidad, el filtro de entidades, el registro de reglas, el glosario, el plan de iteraciones y el dimensionamiento de recursos. La hoja «Panel» controla sola el estado de completitud y avisa qué falta.</t>
  </si>
  <si>
    <t>Dado un turno ya confirmado para la profesional X el día D a las H, cuando otra clienta intenta reservar a la misma profesional X, el mismo día D y la misma hora H, el sistema rechaza la reserva y no la registra en la base; verificado sobre 30 días de uso, el conteo de turnos superpuestos en el registro del sistema es 0.</t>
  </si>
  <si>
    <t>H-01, H-02</t>
  </si>
  <si>
    <t>Hallazgo de la AE1 (dato y valor)</t>
  </si>
  <si>
    <t>Fuente (apartado del Cap. II o acta)</t>
  </si>
  <si>
    <t>Requisito(s) derivado(s)</t>
  </si>
  <si>
    <t>Si no deriva: justificación</t>
  </si>
  <si>
    <t>Control de la doble vía</t>
  </si>
  <si>
    <t>Validado</t>
  </si>
  <si>
    <t>Sí</t>
  </si>
  <si>
    <t>¿Identidad propia?</t>
  </si>
  <si>
    <t>¿Datos y reglas propios?</t>
  </si>
  <si>
    <t>¿Dentro del recorte?</t>
  </si>
  <si>
    <t>Veredicto</t>
  </si>
  <si>
    <t>Fuente que la acredita</t>
  </si>
  <si>
    <t>Relaciones principales</t>
  </si>
  <si>
    <t>Dónde se guarda</t>
  </si>
  <si>
    <t>Turno</t>
  </si>
  <si>
    <t>H-01</t>
  </si>
  <si>
    <t>Registro de chat de WhatsApp del 24/11/2025: superposición de un turno a las 16:00 h pese a estar confirmado dos semanas antes en el registro físico; el horario seguía figurando disponible por falta de sincronización digital.</t>
  </si>
  <si>
    <t>Cap. I.1, evidencia fechada</t>
  </si>
  <si>
    <t>En el repositorio del equipo, carpeta /03-requisitos, con la nomenclatura de la cátedra: AAAAMMDD_CatalogoRequisitos_Equipo_vN.xlsx. Se versiona cada vez que se cierra un bloque de filas, no una sola vez antes de la entrega.</t>
  </si>
  <si>
    <t>Qué celdas se completan</t>
  </si>
  <si>
    <t>Todas las celdas blancas y grises de cada hoja, a partir de la fila 5. Las filas sombreadas en ocre son ejemplos resueltos sobre el caso conductor «Santa Ana»: se leen, no se copian, y se borran antes de entregar. Las columnas de control, sombreadas en amarillo, contienen fórmulas: no se escriben.</t>
  </si>
  <si>
    <t>Entidad</t>
  </si>
  <si>
    <t>Cómo se usan las listas desplegables</t>
  </si>
  <si>
    <t>Cap. I.6, módulos funcionales; Cap. I.3, línea de base de turnos superpuestos</t>
  </si>
  <si>
    <t>Las columnas de tipo, prioridad y estado admiten sólo los valores de la lista. Si un valor es rechazado, es porque la categoría no corresponde a la clasificación de la cátedra.</t>
  </si>
  <si>
    <t>Un turno pertenece a una clienta y a una profesional; puede agruparse con otros turnos simultáneos de la misma reserva.</t>
  </si>
  <si>
    <t>Qué mira la corrección</t>
  </si>
  <si>
    <t>Que cada requisito tenga sus seis campos, que su criterio de aceptación sea un procedimiento ejecutable por un tercero, que la trazabilidad cierre en doble vía y que el conjunto de los requisitos «Must» coincida con el producto mínimo viable del apartado V.5.</t>
  </si>
  <si>
    <t>Orden de trabajo sugerido</t>
  </si>
  <si>
    <t>1) Entidades y Reglas, en el taller. 2) Trazabilidad, con los hallazgos de la AE1 codificados H-01, H-02… 3) Catálogo, derivando requisitos de esos hallazgos. 4) Sesión de validación con el referente y actualización de los estados. 5) Iteraciones y Recursos, ya con el catálogo cerrado.</t>
  </si>
  <si>
    <t>Profesional</t>
  </si>
  <si>
    <t>Advertencia</t>
  </si>
  <si>
    <t>Ante divergencia entre este libro y la Consigna ISI-PFG-2026C2-AE2-v02, prevalece la consigna. Ante divergencia entre la consigna y la Resolución Rectoral UCP N.º 97/23, prevalece la Resolución.</t>
  </si>
  <si>
    <t>Leyenda de colores</t>
  </si>
  <si>
    <t>Cap. II.3, capacidad operativa (7 profesionales); Anexo I, entrevista a Loren</t>
  </si>
  <si>
    <t>Una profesional atiende muchos turnos; ofrece uno o varios servicios del catálogo.</t>
  </si>
  <si>
    <t>Clienta</t>
  </si>
  <si>
    <t>Ocre</t>
  </si>
  <si>
    <t>Cap. I.6, captura de información en el registro; Cap. II.1, fuentes primarias</t>
  </si>
  <si>
    <t>Una clienta reserva muchos turnos; puede tener observaciones operativas asociadas.</t>
  </si>
  <si>
    <t>Servicio</t>
  </si>
  <si>
    <t>Cap. II.3, síntesis del catálogo relevado (uñas, cabello, cuerpo, rostro)</t>
  </si>
  <si>
    <t>Un servicio pertenece a una categoría; es ofrecido por una o varias profesionales; es elegido en muchos turnos.</t>
  </si>
  <si>
    <t>Producto</t>
  </si>
  <si>
    <t>RF-02</t>
  </si>
  <si>
    <t>El sistema permite a una visitante reservar un turno mediante un formulario web, dando de alta su propia cuenta con nombre, apellido y teléfono celular.</t>
  </si>
  <si>
    <t>Cap. I.5, descripción breve del sistema de información («comprar productos»)</t>
  </si>
  <si>
    <t>Un producto puede incluirse en muchos pedidos de la tienda.</t>
  </si>
  <si>
    <t>H-02</t>
  </si>
  <si>
    <t>Línea de base cuantificada: 10 turnos superpuestos por mes sobre 120 turnos individuales de Loren (8,33% de error), medida entre noviembre de 2025 y julio de 2026 cruzando la agenda de papel con los chats de WhatsApp.</t>
  </si>
  <si>
    <t>Cap. I.3, línea de base</t>
  </si>
  <si>
    <t>Promoción</t>
  </si>
  <si>
    <t>Es el mecanismo que reemplaza la coordinación por WhatsApp y cuaderno físico, causa raíz identificada del problema (Cap. I.1, I.3).</t>
  </si>
  <si>
    <t>Dado un visitante sin cuenta, cuando completa el formulario con nombre, apellido y teléfono y elige servicio y horario, el sistema crea la cuenta y el turno queda registrado en estado «pendiente de seña», verificable en el listado de turnos de la clienta.</t>
  </si>
  <si>
    <t>Cap. I.5, descripción breve del sistema de información («crear promociones»)</t>
  </si>
  <si>
    <t>H-04</t>
  </si>
  <si>
    <t>Una promoción se aplica sobre uno o varios servicios o productos.</t>
  </si>
  <si>
    <t>Categoría de servicio</t>
  </si>
  <si>
    <t>Parcialmente</t>
  </si>
  <si>
    <t>H-03</t>
  </si>
  <si>
    <t>No</t>
  </si>
  <si>
    <t>Fila de ejemplo resuelta sobre el caso «Santa Ana». Se borra antes de entregar.</t>
  </si>
  <si>
    <t>Costo de oportunidad mensual estimado entre $150.000 y $540.000 ARS por clientas que desisten de reservar o reagendar tras un conflicto de agenda.</t>
  </si>
  <si>
    <t>Cap. I.3, consecuencia acreditada</t>
  </si>
  <si>
    <t>No deriva un requisito propio: es el impacto económico que sostiene la prioridad «Must» de RF-01, RF-03 y RF-04, no una funcionalidad nueva del sistema.</t>
  </si>
  <si>
    <t>Atributo de otra entidad</t>
  </si>
  <si>
    <t>Cap. II.3, síntesis del catálogo relevado (cuatro categorías: uñas, cabello, cuerpo, rostro)</t>
  </si>
  <si>
    <t>Clasifica al Servicio; no tiene reglas de negocio propias más allá de agrupar.</t>
  </si>
  <si>
    <t>RF-03</t>
  </si>
  <si>
    <t>Seña</t>
  </si>
  <si>
    <t>El sistema calcula y cobra, mediante una pasarela de pagos, una seña de $5.000 ARS para un turno de servicio, antes de confirmar la reserva.</t>
  </si>
  <si>
    <t>El estudio opera sin ningún sistema de información formal: no existe una base de datos centralizada de clientas, turnos, señas ni profesionales.</t>
  </si>
  <si>
    <t>Cap. I.3, diagnóstico del SI actual</t>
  </si>
  <si>
    <t>RF-02, RF-11</t>
  </si>
  <si>
    <t>Cap. I.6, cobro de la seña; Cap. II.3, condiciones financieras y señas</t>
  </si>
  <si>
    <t>No existe sin un Turno asociado; hereda su estado del ciclo de vida del turno.</t>
  </si>
  <si>
    <t>Amarillo</t>
  </si>
  <si>
    <t>Establecimiento (Loren)</t>
  </si>
  <si>
    <t>H-05</t>
  </si>
  <si>
    <t>El 93,57% (131 de 140) de los establecimientos de estética relevados en Posadas opera sin ningún sistema digital; solo 9 (6,43%) cuentan con web o plataforma propia.</t>
  </si>
  <si>
    <t>Cap. II.1 y II.5, relevamiento propio en Google Maps, agosto de 2026</t>
  </si>
  <si>
    <t>No deriva un requisito: es evidencia de contexto de mercado (PESTEL/FODA) que descarta la presión competitiva como desencadenante, no una funcionalidad del sistema.</t>
  </si>
  <si>
    <t>Producto del sistema</t>
  </si>
  <si>
    <t>Cap. I.1, origen del proyecto; Anexo III, ADR-001 sobre arquitectura single-tenant</t>
  </si>
  <si>
    <t>Es la configuración global de esta instancia; no tiene múltiples ejemplares dentro de este sistema.</t>
  </si>
  <si>
    <t>H-06</t>
  </si>
  <si>
    <t>El estudio recibe entre 20 y 30 mensajes de WhatsApp diarios, en su mayoría consultas repetitivas sobre disponibilidad, precios y señas.</t>
  </si>
  <si>
    <t>WhatsApp</t>
  </si>
  <si>
    <t>Cap. II.3 y II.5; entrevista a Loren, 26/08/2026</t>
  </si>
  <si>
    <t>RNF-01</t>
  </si>
  <si>
    <t>Elemento del entorno</t>
  </si>
  <si>
    <t>Cap. I.6, exclusiones declaradas; Anexo II, nota aclaratoria sobre el ícono flotante</t>
  </si>
  <si>
    <t>Objetivo específico N.º 3 del proyecto (Cap. I.2); condición para que la reserva pase a «confirmada».</t>
  </si>
  <si>
    <t>Canal externo de contacto institucional; queda fuera de la arquitectura de reserva de Nexa.</t>
  </si>
  <si>
    <t>Dado un turno individual de precio P, cuando la clienta confirma la reserva, el sistema exige el pago de $5.000 ARS mediante la pasarela; el turno pasa a estado «confirmado» solo si el pago se acredita, verificable en el registro de la transacción y en el estado del turno.</t>
  </si>
  <si>
    <t>H-07</t>
  </si>
  <si>
    <t>H-08</t>
  </si>
  <si>
    <t>La conciliación manual de un turno insume entre 10 y 15 minutos por consulta, tomada como línea de base del Objetivo específico N.º 4.</t>
  </si>
  <si>
    <t>Cap. II.3</t>
  </si>
  <si>
    <t>Cuaderno físico de turnos</t>
  </si>
  <si>
    <t>Seña fija de $5.000 ARS para turnos individuales, o del 50% del valor para talleres, cobrada manualmente por transferencia bancaria sin trazabilidad automatizada.</t>
  </si>
  <si>
    <t>Cap. I.3 y II.3; Anexo I</t>
  </si>
  <si>
    <t>RF-03, RNF-04</t>
  </si>
  <si>
    <t>RF-04</t>
  </si>
  <si>
    <t>El sistema devuelve el 100% de la seña si la clienta cancela con 12 horas o más de anticipación al turno, y retiene el 100% si cancela con menos de 12 horas o no se presenta.</t>
  </si>
  <si>
    <t>H-09</t>
  </si>
  <si>
    <t>Política de cancelación relevada: devolución total con aviso de 12 horas o más; retención del 100% de la seña con aviso menor a 12 horas o no-show.</t>
  </si>
  <si>
    <t>Celda con fórmula de control. No se escribe.</t>
  </si>
  <si>
    <t>Cap. I.6 y II.3</t>
  </si>
  <si>
    <t>Regla de negocio explícita relevada en la entrevista a la propietaria (R-02); condiciona la confianza de las clientas en el cobro de señas.</t>
  </si>
  <si>
    <t>Dado un turno con seña pagada, pactado a las 18:00 h del día D, cuando la clienta cancela a las 05:00 h del mismo día D (menos de 12 horas antes), el sistema marca la seña como retenida; cuando cancela un día antes a las 17:00 h (más de 12 horas antes), el sistema marca la seña como a devolver, verificable en el estado de pago del turno.</t>
  </si>
  <si>
    <t>H-10</t>
  </si>
  <si>
    <t>Tolerancia de llegada de 20 minutos desde el horario pactado; superado ese margen, el turno se cancela para no demorar la agenda subsiguiente.</t>
  </si>
  <si>
    <t>RF-05</t>
  </si>
  <si>
    <t>Blanco y gris</t>
  </si>
  <si>
    <t>H-11</t>
  </si>
  <si>
    <t>El sistema cancela automáticamente un turno y libera el horario para reasignar si transcurren más de 20 minutos desde la hora pactada sin que la clienta registre su llegada.</t>
  </si>
  <si>
    <t>El sistema debe evaluar la disponibilidad en tiempo real y asignar automáticamente a la profesional con menor carga de turnos reservados cuando la clienta no elige una en particular.</t>
  </si>
  <si>
    <t>Cap. I.6, módulos funcionales</t>
  </si>
  <si>
    <t>RF-06</t>
  </si>
  <si>
    <t>Should</t>
  </si>
  <si>
    <t>Evita demoras en la agenda subsiguiente (Cap. I.6), pero no es indispensable para el objetivo central de eliminar superposiciones.</t>
  </si>
  <si>
    <t>Dado un turno pactado a las 10:00 h, cuando el reloj del sistema marca las 10:21 h sin registro de llegada de la clienta, el turno pasa a estado «cancelado por inasistencia» y el horario queda disponible para nueva reserva, verificable en el estado del turno y en la grilla de disponibilidad.</t>
  </si>
  <si>
    <t>Cap. I.1, origen del proyecto; Cap. I.3, diagnóstico del sistema de información actual</t>
  </si>
  <si>
    <t>Es la fuente de verdad actual que Nexa reemplaza; no se digitaliza ni se migra al sistema.</t>
  </si>
  <si>
    <t>H-12</t>
  </si>
  <si>
    <t>Distintos tipos de servicio requieren datos específicos (uñas: cantidad y reconstrucción; cabello: largo y extensiones; rostro: tipo de piel), y permiten adjuntar imágenes o textos de referencia.</t>
  </si>
  <si>
    <t>Cap. I.6</t>
  </si>
  <si>
    <t>No deriva un requisito propio de este catálogo: son variantes de captura de datos por categoría de servicio que se resuelven en el diseño del formulario de reserva, no una restricción de negocio autónoma.</t>
  </si>
  <si>
    <t>Cuando la clienta no indica preferencia por una profesional, el sistema asigna automáticamente el turno a la profesional habilitada para ese servicio que registre la menor cantidad de turnos reservados en el período.</t>
  </si>
  <si>
    <t>H-13</t>
  </si>
  <si>
    <t>Celdas que completa el equipo.</t>
  </si>
  <si>
    <t>La información de alergias y tipo de piel hoy se releva de forma verbal e informal, sin ningún registro sistemático.</t>
  </si>
  <si>
    <t>Cap. II.6, conclusiones del relevamiento</t>
  </si>
  <si>
    <t>RF-07, RNF-03</t>
  </si>
  <si>
    <t>Mejora la distribución de la carga de trabajo (Cap. I.6), pero la clienta puede igualmente elegir profesional de forma manual, por lo que no bloquea el objetivo central.</t>
  </si>
  <si>
    <t>Dadas tres profesionales habilitadas para «manicura» con 8, 5 y 5 turnos reservados en la semana, cuando una clienta reserva «manicura» sin elegir profesional, el sistema asigna el turno a una de las dos con 5 turnos, verificable en el campo de profesional asignada del turno creado.</t>
  </si>
  <si>
    <t>H-14</t>
  </si>
  <si>
    <t>Exigencia de consentimiento diferenciado para guardar datos de alergias o piel sensible, conforme a la Ley N.º 25.326.</t>
  </si>
  <si>
    <t>Cap. I.6 y I.7</t>
  </si>
  <si>
    <t>RF-07</t>
  </si>
  <si>
    <t>H-15</t>
  </si>
  <si>
    <t>El sistema solicita un consentimiento diferenciado y específico antes de guardar cualquier dato de alergias o sensibilidad de piel de la clienta, e impide su guardado si no se otorga.</t>
  </si>
  <si>
    <t>Exigencia de exponer la política de privacidad antes de registrar datos personales, con registro de fecha, hora y versión aceptada.</t>
  </si>
  <si>
    <t>Cap. I.6, Ley N.º 25.326 Art. 25</t>
  </si>
  <si>
    <t>RF-08</t>
  </si>
  <si>
    <t>Exigencia directa de la Ley N.º 25.326 relevada en Cap. I.6 y I.7; su incumplimiento expone legalmente al proyecto.</t>
  </si>
  <si>
    <t>Dado el formulario de detalles de la reserva con el campo «alergias» completado, cuando la clienta no marca la casilla de consentimiento, el sistema no guarda ese valor en la base; cuando sí la marca, el valor se guarda junto con la fecha y hora del consentimiento, verificable en el registro de la reserva.</t>
  </si>
  <si>
    <t>H-13, H-14</t>
  </si>
  <si>
    <t>H-16</t>
  </si>
  <si>
    <t>Exigencia de que la propietaria pueda eliminar o anonimizar datos personales a pedido de la titular, con constancia de auditoría, preservando solo los registros contables o fiscales exigidos.</t>
  </si>
  <si>
    <t>Cap. I.6 y I.7, Ley N.º 25.326 Art. 25</t>
  </si>
  <si>
    <t>RF-09, RNF-05</t>
  </si>
  <si>
    <t>El sistema expone la política de privacidad a la clienta antes de registrar cualquier dato personal, impide continuar el flujo si la rechaza, y registra fecha, hora y versión aceptada.</t>
  </si>
  <si>
    <t>H-17</t>
  </si>
  <si>
    <t>Existencia de servicios simultáneos con dos profesionales distintas, hoy coordinados de forma manual y verbal entre ellas.</t>
  </si>
  <si>
    <t>Anexo I, entrevista a Loren</t>
  </si>
  <si>
    <t>RF-10</t>
  </si>
  <si>
    <t>Exigencia de los Art. 21 y 25 de la Ley N.º 25.326 (Cap. I.6, I.7).</t>
  </si>
  <si>
    <t>Dado un nuevo registro de clienta, cuando no acepta la política de privacidad, el formulario no avanza al paso siguiente; cuando la acepta, el sistema graba fecha, hora y número de versión de la política en el registro del usuario, verificable en la base.</t>
  </si>
  <si>
    <t>H-18</t>
  </si>
  <si>
    <t>Preferencia relevada de las clientas por un flujo web liviano desde el navegador, sin descarga de aplicaciones nativas.</t>
  </si>
  <si>
    <t>RNF-02</t>
  </si>
  <si>
    <t>RF-09</t>
  </si>
  <si>
    <t>El sistema permite a la propietaria ejecutar la eliminación o anonimización de los datos personales de una clienta que lo solicite, preservando solo los registros exigidos por obligaciones contables o fiscales, y deja constancia de auditoría.</t>
  </si>
  <si>
    <t>H-19</t>
  </si>
  <si>
    <t>Exigencia legal (Cap. I.6, Art. 25 Ley N.º 25.326), pero de volumen de uso bajo esperado en esta primera etapa; no bloquea el objetivo central del proyecto.</t>
  </si>
  <si>
    <t>Catálogo de servicios organizado en cuatro categorías (uñas, cabello, cuerpo, rostro), con precios y duraciones diferenciados por técnica, hoy no sistematizado en ningún registro único.</t>
  </si>
  <si>
    <t>Dada una clienta que solicita la baja de sus datos, cuando la propietaria confirma la anonimización desde el panel, el nombre y el contacto de la clienta dejan de ser recuperables en las consultas del sistema, y se genera un registro con fecha, hora y alcance de la operación en el log de auditoría, verificable en ambas consultas.</t>
  </si>
  <si>
    <t>Cap. II.3, síntesis del catálogo relevado</t>
  </si>
  <si>
    <t>RF-11</t>
  </si>
  <si>
    <t>H-20</t>
  </si>
  <si>
    <t>El estudio atiende de forma autónoma a partir de los 13 años; para menores de 13, la reserva y gestión del turno la realiza exclusivamente la madre, padre o tutor, sin registrar datos identificatorios de la menor.</t>
  </si>
  <si>
    <t>Cap. I.7, atención de menores y registro de acompañantes</t>
  </si>
  <si>
    <t>RF-12</t>
  </si>
  <si>
    <t>El sistema permite reservar, dentro de un mismo turno, dos o más servicios a cargo de profesionales distintas de forma coordinada, sin requerir coordinación manual entre ellas.</t>
  </si>
  <si>
    <t>H-21</t>
  </si>
  <si>
    <t>Ocho plataformas genéricas de reserva evaluadas y descartadas (ReservaSimple, Agenda+, AgendaPro, WeiBook, MiAgendaProfesional, Tiska, Turnau, Booksy) por costos dolarizados o suscripciones fijas inviables, y por no adaptarse al esquema local de alquiler más comisión.</t>
  </si>
  <si>
    <t>Reduce una coordinación hoy manual y verbal (Anexo I), pero afecta a una porción acotada de las reservas frente al volumen total.</t>
  </si>
  <si>
    <t>Cap. I.4</t>
  </si>
  <si>
    <t>Dada una clienta que reserva «uñas + cejas» para el mismo horario, cuando confirma la reserva, el sistema crea los turnos vinculados —uno por profesional— con el mismo horario de inicio, verificable en el campo de agrupación de ambos turnos.</t>
  </si>
  <si>
    <t>No deriva un requisito: es la evidencia que sostiene la decisión de construir un sistema a medida en vez de adoptar una plataforma genérica, no una funcionalidad concreta de Nexa.</t>
  </si>
  <si>
    <t>El sistema centraliza en un catálogo único los servicios ofrecidos, organizados en las categorías uñas, cabello, cuerpo y rostro, cada uno con su precio y duración.</t>
  </si>
  <si>
    <t>Objetivo específico N.º 1 del proyecto (centralizar la información hoy dispersa); sin catálogo no hay reserva posible.</t>
  </si>
  <si>
    <t>Dado el panel de administración, cuando la propietaria da de alta un servicio con nombre, categoría, precio y duración, el servicio queda disponible para ser elegido por las clientas en el flujo de reserva, verificable en el listado público de servicios.</t>
  </si>
  <si>
    <t>H-04, H-19</t>
  </si>
  <si>
    <t>El sistema no solicita, no recolecta ni almacena datos identificatorios de una clienta menor de 13 años; la reserva para una menor de esa edad se gestiona bajo la cuenta de la madre, padre o tutor, quien la acompaña presencialmente, registrando únicamente la condición de acompañante.</t>
  </si>
  <si>
    <t>Exigencia directa del principio de minimización de datos bajo la Ley N.º 25.326 (Cap. I.7); su incumplimiento expone legalmente al proyecto frente al tratamiento de datos de menores.</t>
  </si>
  <si>
    <t>Dada una reserva gestionada por una cuenta adulta que marca «acompañante: sí, mi hija», cuando se guarda el turno, el sistema no habilita ningún campo de nombre, edad ni documento propio de la menor, verificable en el esquema de datos del turno y en el formulario resultante.</t>
  </si>
  <si>
    <t>El flujo de reserva web (selección de servicio, horario y pago de seña) debe completarse en dispositivos móviles sin tiempos de espera mayores a los del canal manual actual.</t>
  </si>
  <si>
    <t>No funcional</t>
  </si>
  <si>
    <t>Rendimiento</t>
  </si>
  <si>
    <t>Cap. II.5 (PESTEL social) exige explícitamente un «flujo ultrarrápido y responsivo para dispositivos móviles» dado el volumen de ~450 turnos mensuales.</t>
  </si>
  <si>
    <t>En una prueba de reserva de punta a punta desde un dispositivo móvil con conexión 4G, el tiempo entre la selección del horario y la confirmación de la reserva (previo a la redirección a la pasarela de pago) es menor o igual a 5 segundos, medido en tres repeticiones consecutivas.</t>
  </si>
  <si>
    <t>H-06, H-07</t>
  </si>
  <si>
    <t>Pendiente</t>
  </si>
  <si>
    <t>El sistema debe operar íntegramente desde el navegador web, sin exigir a la clienta la descarga de una aplicación nativa para reservar un turno.</t>
  </si>
  <si>
    <t>Usabilidad</t>
  </si>
  <si>
    <t>Preferencia relevada explícitamente en las conclusiones del relevamiento (Cap. II.6) y en la entrevista a la clienta frecuente.</t>
  </si>
  <si>
    <t>Un usuario sin ninguna aplicación instalada además del navegador completa el flujo completo de reserva y pago de seña únicamente accediendo a la URL del sistema, verificable repitiendo la prueba en un dispositivo sin instalaciones adicionales.</t>
  </si>
  <si>
    <t>RNF-03</t>
  </si>
  <si>
    <t>El sistema no debe tratar los datos de alergias o sensibilidad de piel como historia clínica, restringiendo su visibilidad únicamente al rol profesional asignado al turno.</t>
  </si>
  <si>
    <t>Seguridad</t>
  </si>
  <si>
    <t>Exigencia normativa directa de la Ley N.º 25.326 (Cap. I.6, I.7, II.5).</t>
  </si>
  <si>
    <t>Dada una clienta con una advertencia operativa de alergia registrada, cuando una profesional distinta a la asignada al turno consulta el sistema, el dato no aparece en su vista; solo la profesional asignada a ese turno puede visualizarlo, verificable mediante inspección de los permisos de la consulta.</t>
  </si>
  <si>
    <t>RNF-04</t>
  </si>
  <si>
    <t>El sistema no debe capturar ni almacenar datos de tarjetas o cuentas bancarias de las clientas; toda captura de medios de pago debe delegarse a la pasarela de pagos certificada.</t>
  </si>
  <si>
    <t>Cumplimiento normativo</t>
  </si>
  <si>
    <t>Exigencia explícita de Cap. I.7 / II.5 sobre la relación con la pasarela de pagos; evita exponer a Loren y Kologic a responsabilidad sobre datos financieros de terceros.</t>
  </si>
  <si>
    <t>Una revisión del esquema de la base de datos del sistema no encuentra ninguna columna que almacene número de tarjeta, código de seguridad o dato bancario de la clienta; el único dato de pago retenido es el identificador de confirmación (token) devuelto por la pasarela, verificable por inspección del esquema.</t>
  </si>
  <si>
    <t>RNF-05</t>
  </si>
  <si>
    <t>El sistema debe registrar, con fecha y hora, todo cambio de estado de un turno y toda eliminación o anonimización de datos personales.</t>
  </si>
  <si>
    <t>Mantenibilidad</t>
  </si>
  <si>
    <t>Exigencia del Art. 25 de la Ley N.º 25.326 (Cap. I.6) para sostener la trazabilidad ante una eventual auditoría; no bloquea la operación diaria de reserva.</t>
  </si>
  <si>
    <t>Dada la anonimización de los datos de una clienta ejecutada por la propietaria, cuando se consulta el registro de auditoría, aparece una entrada con fecha, hora y el alcance de la operación realizada, verificable en dicho registro.</t>
  </si>
  <si>
    <t>Registro de reglas de negocio · Instrumento 29</t>
  </si>
  <si>
    <t>Regla y requisito derivado deben citar la misma fuente: esa coincidencia es la trazabilidad que la dimensión 1 de la rúbrica verifica.</t>
  </si>
  <si>
    <t>Código</t>
  </si>
  <si>
    <t>Enunciado verificable</t>
  </si>
  <si>
    <t>Fuente</t>
  </si>
  <si>
    <t>Estado</t>
  </si>
  <si>
    <t>Requisito derivado (ID)</t>
  </si>
  <si>
    <t>R-01</t>
  </si>
  <si>
    <t>Restricción</t>
  </si>
  <si>
    <t>No se puede confirmar la reserva de un turno si la profesional seleccionada ya tiene otro turno activo (no cancelado) en el mismo rango horario.</t>
  </si>
  <si>
    <t>Cap. I.3, primer requisito derivado; Cap. II.6, conclusiones del relevamiento</t>
  </si>
  <si>
    <t>Validada</t>
  </si>
  <si>
    <t>R-02</t>
  </si>
  <si>
    <t>Si la cancelación se notifica con menos de 12 horas de anticipación al turno, o ante inasistencia (no-show), la seña queda retenida en su totalidad; con 12 horas o más, corresponde la devolución total.</t>
  </si>
  <si>
    <t>R-03</t>
  </si>
  <si>
    <t>Si transcurren más de 20 minutos desde el horario pactado sin que la clienta se presente, el turno se cancela automáticamente y el horario queda disponible para reasignarse.</t>
  </si>
  <si>
    <t>Cap. I.6; Cap. II.3, tolerancia de llegada</t>
  </si>
  <si>
    <t>R-04</t>
  </si>
  <si>
    <t>Derivación</t>
  </si>
  <si>
    <t>Cuando la clienta no indica preferencia por una profesional, el sistema asigna automáticamente a la que registre la menor cantidad de turnos reservados en el período, entre las habilitadas para el servicio solicitado.</t>
  </si>
  <si>
    <t xml:space="preserve">Cap. I.6, módulos funcionales — confirmado además contra la implementación real (resolveProfessionalId, appointment.service.ts). </t>
  </si>
  <si>
    <t>R-05</t>
  </si>
  <si>
    <t>El sistema no guarda ningún dato de alergias o sensibilidad de piel de la clienta sin su consentimiento explícito y diferenciado para ese campo.</t>
  </si>
  <si>
    <t>Cap. I.6 y I.7, cumplimiento de la Ley N.º 25.326</t>
  </si>
  <si>
    <t>R-06</t>
  </si>
  <si>
    <t>Existencia</t>
  </si>
  <si>
    <t>Toda reserva de un turno para una clienta menor de 13 años debe quedar asociada a la gestión de una madre, padre o tutor legal, sin registrar datos identificatorios de la menor.</t>
  </si>
  <si>
    <t>R-07</t>
  </si>
  <si>
    <t>El monto de la seña se calcula como $5.000 ARS fijo para un turno de servicio individual, o como el 50% del valor total para la inscripción a un taller.</t>
  </si>
  <si>
    <t>Cap. II.3, condiciones financieras y señas; Anexo I</t>
  </si>
  <si>
    <t>R-08</t>
  </si>
  <si>
    <t>La comisión de la profesional por cada turno realizado es del 80% del valor del servicio, correspondiendo el 20% restante al estudio.</t>
  </si>
  <si>
    <t>Cap. II.3, variabilidad de ingresos y esquemas de prestación</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</si>
  <si>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</si>
  <si>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</si>
  <si>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</si>
  <si>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</si>
  <si>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</si>
  <si>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</si>
  <si>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</si>
  <si>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</si>
  <si>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</si>
  <si>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</si>
  <si>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</si>
  <si>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</si>
  <si>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</si>
  <si>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</si>
  <si>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</si>
  <si>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</si>
  <si>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</si>
  <si>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</si>
  <si>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</si>
  <si>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</si>
  <si>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</si>
  <si>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</si>
  <si>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</si>
  <si>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Glosario del dominio · Instrumento 30</t>
  </si>
  <si>
    <t>R-32</t>
  </si>
  <si>
    <t>R-33</t>
  </si>
  <si>
    <t>R-34</t>
  </si>
  <si>
    <t>Vocabulario normativo del informe completo y, más adelante, de las tablas del sistema. La entrada más valiosa es la del término en disputa: el que dos personas de la organización usan distinto.</t>
  </si>
  <si>
    <t>R-35</t>
  </si>
  <si>
    <t>R-36</t>
  </si>
  <si>
    <t>Término (como lo usa la organización)</t>
  </si>
  <si>
    <t>Definición operativa (una o dos oraciones)</t>
  </si>
  <si>
    <t>Sinónimos y falsos amigos detectados</t>
  </si>
  <si>
    <t>Fuente (quién lo usa así)</t>
  </si>
  <si>
    <t>¿En disputa?</t>
  </si>
  <si>
    <t>Reserva de un bloque horario de un servicio con una profesional para una clienta determinada.</t>
  </si>
  <si>
    <t>En el informe y las entrevistas se usa indistintamente «turno» y «reserva»; no se relevó el término «cita», aunque podría aparecer en otros estudios del rubro.</t>
  </si>
  <si>
    <t>Cap. I.1, I.5 y II.3</t>
  </si>
  <si>
    <t>Pago parcial y obligatorio que la clienta abona al confirmar la reserva, como garantía de la reserva del turno.</t>
  </si>
  <si>
    <t>El Anexo I usa además «anticipo» para referirse al mismo concepto; el Anexo II usa «seña obligatoria».</t>
  </si>
  <si>
    <t>Cap. I.6, II.3 y Anexo I</t>
  </si>
  <si>
    <t>No-show</t>
  </si>
  <si>
    <t>Inasistencia de la clienta al turno sin aviso previo, más allá de la tolerancia de 20 minutos, que determina la retención total de la seña.</t>
  </si>
  <si>
    <t>El informe usa «inasistencia» y «no-show» como sinónimos exactos.</t>
  </si>
  <si>
    <t>Advertencia operativa</t>
  </si>
  <si>
    <t>Dato de alergia o sensibilidad de piel de la clienta, registrado para uso técnico de la profesional durante la prestación, expresamente diferenciado de un dato de salud o historia clínica.</t>
  </si>
  <si>
    <t>No debe confundirse con «dato de salud» en el sentido de la Ley N.º 25.326; el informe hace explícita esta distinción para acotar el riesgo legal.</t>
  </si>
  <si>
    <t>Cap. I.6, I.7 y II.5</t>
  </si>
  <si>
    <t>Instancia dedicada (single-tenant)</t>
  </si>
  <si>
    <t>Arquitectura en la que cada estudio cliente de Kologic opera en su propio entorno y base de datos independiente, sin compartir infraestructura con otros clientes.</t>
  </si>
  <si>
    <t>La Bitácora registra que el proyecto arrancó pensado como «multi-tenant SaaS» y fue reemplazado por este modelo; ambos términos aparecen en distintos documentos según la etapa del proyecto.</t>
  </si>
  <si>
    <t>Resumen del informe; Anexo III, ADR-001</t>
  </si>
  <si>
    <t>Responsable / Encargado del Tratamiento</t>
  </si>
  <si>
    <t>Roles definidos por el Art. 25 de la Ley N.º 25.326: Loren es la Responsable (titular que determina la finalidad de los datos); Kologic es la Encargada (provee la infraestructura sin fines propios sobre esos datos).</t>
  </si>
  <si>
    <t>—</t>
  </si>
  <si>
    <t>Cap. I.7</t>
  </si>
  <si>
    <t>Plan de iteraciones y presupuesto de horas · Capítulo V</t>
  </si>
  <si>
    <t>El cronograma se construye sobre el presupuesto efectivo de horas-persona y se alinea con la cadencia de artefactos: v1 en la semana 8, v2 en la semana 11, v3 en la semana 13 y versión funcional congelada en la semana 14.</t>
  </si>
  <si>
    <t>Iteración</t>
  </si>
  <si>
    <t>Desde</t>
  </si>
  <si>
    <t>Hasta</t>
  </si>
  <si>
    <t>Objetivo verificable</t>
  </si>
  <si>
    <t>Requisitos comprometidos (ID)</t>
  </si>
  <si>
    <t>Entregable de cierre</t>
  </si>
  <si>
    <t>Horas asignadas</t>
  </si>
  <si>
    <t>Semana 6</t>
  </si>
  <si>
    <t>Semana 8</t>
  </si>
  <si>
    <t>Prototipo v1 ejecutable: alta de cuenta, catálogo de servicios, reserva con validación de disponibilidad en tiempo real y aceptación registrada de la política de privacidad.</t>
  </si>
  <si>
    <t>RF-01, RF-02, RF-08, RF-11, RNF-02</t>
  </si>
  <si>
    <t>Repositorio etiquetado v1, clonable y ejecutable siguiendo el archivo de lectura.</t>
  </si>
  <si>
    <t>Semana 9</t>
  </si>
  <si>
    <t>Semana 11</t>
  </si>
  <si>
    <t>v2: cobro de seña mediante pasarela de pagos, política de cancelación con devolución o retención, consentimiento diferenciado para datos de alergias y restricción de su visibilidad al profesional asignado.</t>
  </si>
  <si>
    <t>RF-03, RF-04, RF-07, RNF-01, RNF-03, RNF-04</t>
  </si>
  <si>
    <t>v2 con el flujo de pago de la seña funcionando de punta a punta.</t>
  </si>
  <si>
    <t>Semana 12</t>
  </si>
  <si>
    <t>Semana 13</t>
  </si>
  <si>
    <t>v3: asignación automática de profesional por menor carga, tolerancia de 20 minutos con liberación automática del horario, y reserva de servicios simultáneos con profesionales distintas.</t>
  </si>
  <si>
    <t>RF-05, RF-06, RF-10</t>
  </si>
  <si>
    <t>v3 con las reglas de agenda avanzada validadas con la propietaria.</t>
  </si>
  <si>
    <t>Semana 14</t>
  </si>
  <si>
    <t>Versión funcional congelada: eliminación o anonimización de datos a pedido de la titular, registro de auditoría de cambios sensibles, y registro de acompañante para menores de 13 años.</t>
  </si>
  <si>
    <t>RF-09, RF-12, RNF-05</t>
  </si>
  <si>
    <t>Versión congelada etiquetada, lista para evaluación.</t>
  </si>
  <si>
    <t>Presupuesto de horas-persona</t>
  </si>
  <si>
    <t>Integrantes del equipo</t>
  </si>
  <si>
    <t>Horas semanales reales por integrante (declaradas, no deseadas)</t>
  </si>
  <si>
    <t>Semanas del período</t>
  </si>
  <si>
    <t>Presupuesto total</t>
  </si>
  <si>
    <t>Reducción prevista por exámenes y feriados (horas)</t>
  </si>
  <si>
    <t>Presupuesto efectivo resultante</t>
  </si>
  <si>
    <t>Horas ya asignadas a iteraciones</t>
  </si>
  <si>
    <t>Margen disponible</t>
  </si>
  <si>
    <t>Cláusula de contingencia (exigencia vii de la consigna)</t>
  </si>
  <si>
    <t>Si el presupuesto de horas cae un tercio, se posterga</t>
  </si>
  <si>
    <t>la Iteración 4 (versión funcional congelada) completa; sus requisitos —RF-09, RF-12 y RNF-05— pasan a una segunda etapa posterior a la evaluación de la AE2, ya que ninguno integra el MVP definido en el apartado V.5.</t>
  </si>
  <si>
    <t>Criterio de redistribución, según el acta de constitución</t>
  </si>
  <si>
    <t>Se prioriza sostener los requisitos «Must» que integran el MVP (RF-01 a RF-04, RF-07, RF-08, RF-11, RF-12 y RNF-01 a RNF-04). Los requisitos «Should» de las Iteraciones 3 y 4 se redistribuyen o postergan primero, empezando por la iteración de fecha más lejana.</t>
  </si>
  <si>
    <t>Qué no se sacrifica en ningún caso</t>
  </si>
  <si>
    <t>La trazabilidad del catálogo y la ejecutabilidad del prototipo v1: son condiciones de cómputo.</t>
  </si>
  <si>
    <t>Dimensionamiento de recursos · Capítulo X</t>
  </si>
  <si>
    <t>Cada asignación con su justificación y su fuente. Toda cifra de costo responde las tres preguntas: quién la produjo, con qué método y sobre qué universo, y para qué período de referencia. No se promedian cifras de universos distintos.</t>
  </si>
  <si>
    <t>Clase</t>
  </si>
  <si>
    <t>Concepto</t>
  </si>
  <si>
    <t>Cantidad</t>
  </si>
  <si>
    <t>Unidad</t>
  </si>
  <si>
    <t>Costo unitario</t>
  </si>
  <si>
    <t>Subtotal</t>
  </si>
  <si>
    <t>Fuente, período y justificación</t>
  </si>
  <si>
    <t>Humanos</t>
  </si>
  <si>
    <t>Desarrollo del sistema Nexa</t>
  </si>
  <si>
    <t>hora</t>
  </si>
  <si>
    <r>
      <rPr>
        <rFont val="Arial"/>
        <sz val="9.0"/>
      </rPr>
      <t xml:space="preserve">Costo unitario: $21.600/hora, calculado sobre el salario bruto promedio del sector software (Reporte OPSSI/CESSI, 1er trimestre 2026, dato de marzo 2026), dividido por 173 horas mensuales. Se declara como costo de oportunidad de referencia, no como pago real, ya que el proyecto es propio y no se factura a la organización. </t>
    </r>
    <r>
      <rPr>
        <rFont val="Arial"/>
        <color rgb="FF1155CC"/>
        <sz val="9.0"/>
        <u/>
      </rPr>
      <t>https://guara-opssi-2026-q1.netlify.app/</t>
    </r>
    <r>
      <rPr>
        <rFont val="Arial"/>
        <sz val="9.0"/>
      </rPr>
      <t xml:space="preserve"> </t>
    </r>
  </si>
  <si>
    <t>Horas del referente (Loren)</t>
  </si>
  <si>
    <t>Colaboración de la organización, sin facturación. La referente participa como validadora del catálogo de requisitos (Instrumento 31), sin que medie contraprestación económica. Período de referencia: sesión de validación previa al 25 de septiembre de 2026.</t>
  </si>
  <si>
    <t>Físicos y materiales</t>
  </si>
  <si>
    <t>Equipo de desarrollo</t>
  </si>
  <si>
    <t>unidad</t>
  </si>
  <si>
    <t>Bien ya adquirido por la autora con anterioridad al proyecto, sin inversión incremental. Se declara a costo nulo por no representar una erogación nueva atribuible al Proyecto Integrador Final.</t>
  </si>
  <si>
    <t>Financieros</t>
  </si>
  <si>
    <t>Inversión inicial</t>
  </si>
  <si>
    <t>global</t>
  </si>
  <si>
    <t>Financiado íntegramente con trabajo propio de la autora, sin aportes de terceros ni capital externo. No se registran erogaciones de fondos entre septiembre y el cierre de esta actividad.</t>
  </si>
  <si>
    <t>Comisión de Mercado Pago por cobro</t>
  </si>
  <si>
    <t>por transacción</t>
  </si>
  <si>
    <t>% sobre el monto cobrado</t>
  </si>
  <si>
    <t>2,9% a 3,19% + IVA</t>
  </si>
  <si>
    <r>
      <rPr>
        <rFont val="Arial"/>
        <color rgb="FF1C2430"/>
        <sz val="9.0"/>
      </rPr>
      <t xml:space="preserve">Comisión a cargo de la organización (Loren Estudio de Belleza), no de Kologic, ya que los fondos se acreditan directamente en la cuenta de Mercado Pago de la titular del estudio. Fuente: tarifario de Mercado Pago Argentina, relevado a través de Fortuna Web, agosto de 2026. El porcentaje varía según el plazo de acreditación elegido, al instante o en diez días. </t>
    </r>
    <r>
      <rPr>
        <rFont val="Arial"/>
        <color rgb="FF1155CC"/>
        <sz val="9.0"/>
        <u/>
      </rPr>
      <t>https://www.mercadopago.com.ar/ayuda/26748</t>
    </r>
    <r>
      <rPr>
        <rFont val="Arial"/>
        <color rgb="FF1C2430"/>
        <sz val="9.0"/>
      </rPr>
      <t xml:space="preserve"> </t>
    </r>
  </si>
  <si>
    <t>Tecnológicos</t>
  </si>
  <si>
    <t>Backend</t>
  </si>
  <si>
    <t>licencia</t>
  </si>
  <si>
    <t>Software de código abierto bajo licencia MIT, sin costo de adquisición ni de uso.</t>
  </si>
  <si>
    <t>Frontend</t>
  </si>
  <si>
    <t>Hosting del frontend (Vercel)</t>
  </si>
  <si>
    <t>plan</t>
  </si>
  <si>
    <t>Plan gratuito (Hobby), vigente para proyectos personales y no comerciales. Sujeto a límites de ancho de banda y de funciones sin servidor. Se declara como orden de magnitud, a reevaluar si el proyecto pasa a producción comercial con la organización.</t>
  </si>
  <si>
    <t>Hosting del backend (Render)</t>
  </si>
  <si>
    <t>Plan gratuito, con límite de horas mensuales de actividad e inactivación del servicio tras períodos sin uso. Se declara como orden de magnitud, a reevaluar en producción.</t>
  </si>
  <si>
    <t>Base de datos (Supabase o Neon, a definir)</t>
  </si>
  <si>
    <t>Proveedor de PostgreSQL administrado aún no definido entre Supabase y Neon; ambos ofrecen plan gratuito con límite de almacenamiento. Decisión pendiente al momento de esta entrega.</t>
  </si>
  <si>
    <t>Imágenes y CDN (Cloudflare)</t>
  </si>
  <si>
    <t>Plan gratuito de Cloudflare para distribución de contenido estático e imágenes.</t>
  </si>
  <si>
    <t>Control de versiones (GitHub)</t>
  </si>
  <si>
    <t>Plan gratuito, con repositorios privados incluidos.</t>
  </si>
  <si>
    <t>Integración continua (GitHub Actions)</t>
  </si>
  <si>
    <t>Minutos de ejecución gratuitos incluidos en el plan free de GitHub.</t>
  </si>
  <si>
    <t>Entorno de desarrollo (Visual Studio Code)</t>
  </si>
  <si>
    <t>Distribución gratuita de Microsoft, utilizada como editor de código durante todo el desarrollo.</t>
  </si>
  <si>
    <t>Otros</t>
  </si>
  <si>
    <t>Capacitación de Loren y las profesionales en el uso del sistema</t>
  </si>
  <si>
    <t>Sesión de capacitación previa a la habilitación del sistema, dictada por la autora sin costo adicional. Cantidad estimada sobre la base de una sesión grupal antes del inicio de operación. Cifra a confirmar según disponibilidad del equipo del estudio.</t>
  </si>
  <si>
    <t>Licencias de terceros</t>
  </si>
  <si>
    <t>(sin datos)</t>
  </si>
  <si>
    <t>Ninguna licencia de terceros contratada a la fecha. Todos los servicios utilizados se encuentran en planes gratuitos.</t>
  </si>
  <si>
    <t>Total general</t>
  </si>
  <si>
    <t>Horas humanas comprometidas</t>
  </si>
  <si>
    <t>Coherencia con el Capítulo V</t>
  </si>
  <si>
    <t>Panel de control de la entrega</t>
  </si>
  <si>
    <t>Los valores se calculan solos a partir de las demás hojas. Ninguna celda de esta hoja se escribe a mano. Recórrala la noche anterior a la entrega: cada línea en rojo es una observación previsible en la devolución.</t>
  </si>
  <si>
    <t>Indicador</t>
  </si>
  <si>
    <t>Valor</t>
  </si>
  <si>
    <t>Qué debe verificarse</t>
  </si>
  <si>
    <t>Requisitos registrados</t>
  </si>
  <si>
    <t>Un catálogo de menos de ocho requisitos rara vez cubre el alcance declarado.</t>
  </si>
  <si>
    <t>Requisitos con criterio de aceptación</t>
  </si>
  <si>
    <t>Debe coincidir con el total. Un requisito sin criterio no se computa.</t>
  </si>
  <si>
    <t>Requisitos trazados a un hallazgo o acta</t>
  </si>
  <si>
    <t>Debe coincidir con el total. Sin origen, el requisito no ingresa al catálogo.</t>
  </si>
  <si>
    <t>Requisitos no funcionales</t>
  </si>
  <si>
    <t>Un catálogo sin requisitos no funcionales no decidió arquitectura.</t>
  </si>
  <si>
    <t>No funcionales sin categoría declarada</t>
  </si>
  <si>
    <t>Debe ser cero.</t>
  </si>
  <si>
    <t>Requisitos «Must»</t>
  </si>
  <si>
    <t>Priorizar es nombrar lo que no se hará. Si casi todo es «Must», no se priorizó.</t>
  </si>
  <si>
    <t>Requisitos declarados dentro del MVP</t>
  </si>
  <si>
    <t>Debe coincidir con la cantidad de «Must».</t>
  </si>
  <si>
    <t>Coherencia entre «Must» y producto mínimo viable</t>
  </si>
  <si>
    <t>Si dice REVISAR, uno de los dos apartados está mal escrito: el catálogo o el V.5.</t>
  </si>
  <si>
    <t>Requisitos validados con el referente</t>
  </si>
  <si>
    <t>Un requisito redactado y no validado carece de valor probatorio.</t>
  </si>
  <si>
    <t>Filas del catálogo con campos faltantes</t>
  </si>
  <si>
    <t>Debe ser cero antes de exportar el PDF.</t>
  </si>
  <si>
    <t>Hallazgos de la AE1 registrados</t>
  </si>
  <si>
    <t>Todo hallazgo del Capítulo II que sostuvo el diagnóstico debería estar.</t>
  </si>
  <si>
    <t>Hallazgos sin requisito ni justificación</t>
  </si>
  <si>
    <t>Debe ser cero. El silencio no es una decisión.</t>
  </si>
  <si>
    <t>Entidades aceptadas en el modelo del dominio</t>
  </si>
  <si>
    <t>Cada una debe tener su fuente en la columna correspondiente.</t>
  </si>
  <si>
    <t>Candidatas evaluadas y reclasificadas</t>
  </si>
  <si>
    <t>Los descartes documentados son los que permiten defender la delimitación.</t>
  </si>
  <si>
    <t>Reglas de negocio registradas</t>
  </si>
  <si>
    <t>Mínimo exigido en el taller de la Clase 8: tres reglas enunciadas de modo verificable.</t>
  </si>
  <si>
    <t>Reglas todavía pendientes de validación</t>
  </si>
  <si>
    <t>Toda regla pendiente pasa a la guía de la sesión de validación.</t>
  </si>
  <si>
    <t>Términos del glosario en disputa</t>
  </si>
  <si>
    <t>Se resuelven con el referente y se cierran con una definición acordada.</t>
  </si>
  <si>
    <t>Horas asignadas a iteraciones</t>
  </si>
  <si>
    <t>Deben caber en el presupuesto efectivo de horas de la hoja Iteraciones.</t>
  </si>
  <si>
    <t>Coherencia entre recursos humanos y presupuesto de horas</t>
  </si>
  <si>
    <t>Las horas del Capítulo X y las del Capítulo V deben ser el mismo número.</t>
  </si>
  <si>
    <t>Condición material del cómputo</t>
  </si>
  <si>
    <t>Ninguna de estas cifras sustituye la comprobación del prototipo v1. La cátedra clona el repositorio en la etiqueta v1, sigue las instrucciones del archivo de lectura y ejecuta. Un esqueleto que no arranca, no compila o carece de instrucciones no se computa como entregado, con independencia de la calidad del documento que lo acompañe.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</si>
</sst>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9">
    <font>
      <sz val="11.0"/>
      <color theme="1"/>
      <name val="Calibri"/>
      <scheme val="minor"/>
    </font>
    <font>
      <b/>
      <sz val="13.0"/>
      <color rgb="FF1F3A6E"/>
      <name val="Arial"/>
    </font>
    <font>
      <sz val="11.0"/>
      <color theme="1"/>
      <name val="Calibri"/>
    </font>
    <font>
      <i/>
      <sz val="9.0"/>
      <color rgb="FF5A6A80"/>
      <name val="Arial"/>
    </font>
    <font>
      <b/>
      <sz val="9.0"/>
      <color rgb="FFFFFFFF"/>
      <name val="Arial"/>
    </font>
    <font>
      <sz val="9.0"/>
      <color theme="1"/>
      <name val="Arial"/>
    </font>
    <font>
      <b/>
      <sz val="10.0"/>
      <color rgb="FF1F3A6E"/>
      <name val="Arial"/>
    </font>
    <font>
      <sz val="10.0"/>
      <color theme="1"/>
      <name val="Arial"/>
    </font>
    <font>
      <b/>
      <sz val="9.0"/>
      <color rgb="FF7A5C00"/>
      <name val="Arial"/>
    </font>
    <font>
      <b/>
      <sz val="9.0"/>
      <color theme="1"/>
      <name val="Arial"/>
    </font>
    <font>
      <sz val="9.0"/>
      <color rgb="FF1C2430"/>
      <name val="Arial"/>
    </font>
    <font>
      <b/>
      <sz val="11.0"/>
      <color rgb="FF1F3A6E"/>
      <name val="Arial"/>
    </font>
    <font/>
    <font>
      <sz val="9.0"/>
      <color rgb="FF7A5C00"/>
      <name val="Arial"/>
    </font>
    <font>
      <u/>
      <sz val="9.0"/>
      <color rgb="FF0000FF"/>
      <name val="Arial"/>
    </font>
    <font>
      <u/>
      <sz val="9.0"/>
      <color rgb="FF1C2430"/>
      <name val="Arial"/>
    </font>
    <font>
      <b/>
      <sz val="10.0"/>
      <color theme="1"/>
      <name val="Arial"/>
    </font>
    <font>
      <b/>
      <sz val="10.0"/>
      <color rgb="FF7A5C00"/>
      <name val="Arial"/>
    </font>
    <font>
      <sz val="9.0"/>
      <color rgb="FF5A6A80"/>
      <name val="Arial"/>
    </font>
  </fonts>
  <fills count="7">
    <fill>
      <patternFill patternType="none"/>
    </fill>
    <fill>
      <patternFill patternType="lightGray"/>
    </fill>
    <fill>
      <patternFill patternType="solid">
        <fgColor rgb="FF1F3A6E"/>
        <bgColor rgb="FF1F3A6E"/>
      </patternFill>
    </fill>
    <fill>
      <patternFill patternType="solid">
        <fgColor rgb="FFF2F5FA"/>
        <bgColor rgb="FFF2F5FA"/>
      </patternFill>
    </fill>
    <fill>
      <patternFill patternType="solid">
        <fgColor rgb="FFFFF6D6"/>
        <bgColor rgb="FFFFF6D6"/>
      </patternFill>
    </fill>
    <fill>
      <patternFill patternType="solid">
        <fgColor rgb="FFFDF4E2"/>
        <bgColor rgb="FFFDF4E2"/>
      </patternFill>
    </fill>
    <fill>
      <patternFill patternType="solid">
        <fgColor rgb="FFFBEAEA"/>
        <bgColor rgb="FFFBEAEA"/>
      </patternFill>
    </fill>
  </fills>
  <borders count="12">
    <border/>
    <border>
      <left style="thin">
        <color rgb="FFB9C4D6"/>
      </left>
      <right style="thin">
        <color rgb="FFB9C4D6"/>
      </right>
      <top style="thin">
        <color rgb="FFB9C4D6"/>
      </top>
      <bottom style="thin">
        <color rgb="FFB9C4D6"/>
      </bottom>
    </border>
    <border>
      <left style="thin">
        <color rgb="FFB9C4D6"/>
      </left>
      <right style="thin">
        <color rgb="FFB9C4D6"/>
      </right>
      <top style="thin">
        <color rgb="FFB9C4D6"/>
      </top>
      <bottom style="thin">
        <color rgb="FF000000"/>
      </bottom>
    </border>
    <border>
      <left style="thin">
        <color rgb="FFB9C4D6"/>
      </left>
      <top style="thin">
        <color rgb="FFB9C4D6"/>
      </top>
      <bottom style="thin">
        <color rgb="FFB9C4D6"/>
      </bottom>
    </border>
    <border>
      <top style="thin">
        <color rgb="FFB9C4D6"/>
      </top>
      <bottom style="thin">
        <color rgb="FFB9C4D6"/>
      </bottom>
    </border>
    <border>
      <right style="thin">
        <color rgb="FFB9C4D6"/>
      </right>
      <top style="thin">
        <color rgb="FFB9C4D6"/>
      </top>
      <bottom style="thin">
        <color rgb="FFB9C4D6"/>
      </bottom>
    </border>
    <border>
      <left/>
      <top/>
    </border>
    <border>
      <top/>
    </border>
    <border>
      <right/>
      <top/>
    </border>
    <border>
      <left/>
      <bottom/>
    </border>
    <border>
      <bottom/>
    </border>
    <border>
      <right/>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0" fillId="0" fontId="1" numFmtId="0" xfId="0" applyAlignment="1" applyFont="1">
      <alignment vertical="bottom"/>
    </xf>
    <xf borderId="0" fillId="0" fontId="3" numFmtId="0" xfId="0" applyAlignment="1" applyFont="1">
      <alignment shrinkToFit="0" vertical="center" wrapText="1"/>
    </xf>
    <xf borderId="0" fillId="0" fontId="3" numFmtId="0" xfId="0" applyAlignment="1" applyFont="1">
      <alignment shrinkToFit="0" vertical="top" wrapText="1"/>
    </xf>
    <xf borderId="1" fillId="2" fontId="4" numFmtId="0" xfId="0" applyAlignment="1" applyBorder="1" applyFill="1" applyFont="1">
      <alignment horizontal="center" shrinkToFit="0" vertical="center" wrapText="1"/>
    </xf>
    <xf borderId="1" fillId="0" fontId="5" numFmtId="0" xfId="0" applyAlignment="1" applyBorder="1" applyFont="1">
      <alignment shrinkToFit="0" vertical="center" wrapText="1"/>
    </xf>
    <xf borderId="1" fillId="3" fontId="6" numFmtId="0" xfId="0" applyAlignment="1" applyBorder="1" applyFill="1" applyFont="1">
      <alignment shrinkToFit="0" vertical="center" wrapText="1"/>
    </xf>
    <xf borderId="1" fillId="3" fontId="7" numFmtId="0" xfId="0" applyAlignment="1" applyBorder="1" applyFill="1" applyFont="1">
      <alignment shrinkToFit="0" vertical="center" wrapText="1"/>
    </xf>
    <xf borderId="0" fillId="0" fontId="2" numFmtId="0" xfId="0" applyAlignment="1" applyFont="1">
      <alignment vertical="center"/>
    </xf>
    <xf borderId="1" fillId="0" fontId="6" numFmtId="0" xfId="0" applyAlignment="1" applyBorder="1" applyFont="1">
      <alignment shrinkToFit="0" vertical="center" wrapText="1"/>
    </xf>
    <xf borderId="1" fillId="0" fontId="7" numFmtId="0" xfId="0" applyAlignment="1" applyBorder="1" applyFont="1">
      <alignment shrinkToFit="0" vertical="center" wrapText="1"/>
    </xf>
    <xf borderId="1" fillId="3" fontId="5" numFmtId="0" xfId="0" applyAlignment="1" applyBorder="1" applyFill="1" applyFont="1">
      <alignment shrinkToFit="0" vertical="center" wrapText="1"/>
    </xf>
    <xf borderId="0" fillId="0" fontId="6" numFmtId="0" xfId="0" applyAlignment="1" applyFont="1">
      <alignment vertical="bottom"/>
    </xf>
    <xf borderId="1" fillId="4" fontId="8" numFmtId="0" xfId="0" applyAlignment="1" applyBorder="1" applyFill="1" applyFont="1">
      <alignment shrinkToFit="0" vertical="center" wrapText="1"/>
    </xf>
    <xf borderId="1" fillId="5" fontId="9" numFmtId="0" xfId="0" applyAlignment="1" applyBorder="1" applyFill="1" applyFont="1">
      <alignment vertical="bottom"/>
    </xf>
    <xf borderId="1" fillId="0" fontId="5" numFmtId="0" xfId="0" applyAlignment="1" applyBorder="1" applyFont="1">
      <alignment vertical="bottom"/>
    </xf>
    <xf borderId="1" fillId="0" fontId="5" numFmtId="0" xfId="0" applyAlignment="1" applyBorder="1" applyFont="1">
      <alignment readingOrder="0" shrinkToFit="0" vertical="center" wrapText="1"/>
    </xf>
    <xf borderId="1" fillId="4" fontId="9" numFmtId="0" xfId="0" applyAlignment="1" applyBorder="1" applyFill="1" applyFont="1">
      <alignment vertical="bottom"/>
    </xf>
    <xf borderId="2" fillId="0" fontId="5" numFmtId="0" xfId="0" applyAlignment="1" applyBorder="1" applyFont="1">
      <alignment shrinkToFit="0" vertical="center" wrapText="1"/>
    </xf>
    <xf borderId="1" fillId="3" fontId="9" numFmtId="0" xfId="0" applyAlignment="1" applyBorder="1" applyFill="1" applyFont="1">
      <alignment vertical="bottom"/>
    </xf>
    <xf borderId="1" fillId="3" fontId="10" numFmtId="0" xfId="0" applyAlignment="1" applyBorder="1" applyFill="1" applyFont="1">
      <alignment shrinkToFit="0" vertical="top" wrapText="1"/>
    </xf>
    <xf borderId="1" fillId="4" fontId="8" numFmtId="0" xfId="0" applyAlignment="1" applyBorder="1" applyFill="1" applyFont="1">
      <alignment shrinkToFit="0" vertical="top" wrapText="1"/>
    </xf>
    <xf borderId="1" fillId="0" fontId="10" numFmtId="0" xfId="0" applyAlignment="1" applyBorder="1" applyFont="1">
      <alignment shrinkToFit="0" vertical="top" wrapText="1"/>
    </xf>
    <xf borderId="1" fillId="5" fontId="5" numFmtId="0" xfId="0" applyAlignment="1" applyBorder="1" applyFill="1" applyFont="1">
      <alignment shrinkToFit="0" vertical="center" wrapText="1"/>
    </xf>
    <xf borderId="1" fillId="3" fontId="5" numFmtId="0" xfId="0" applyAlignment="1" applyBorder="1" applyFill="1" applyFont="1">
      <alignment readingOrder="0" shrinkToFit="0" vertical="center" wrapText="1"/>
    </xf>
    <xf borderId="1" fillId="0" fontId="10" numFmtId="0" xfId="0" applyAlignment="1" applyBorder="1" applyFont="1">
      <alignment shrinkToFit="0" vertical="center" wrapText="1"/>
    </xf>
    <xf borderId="1" fillId="3" fontId="10" numFmtId="0" xfId="0" applyAlignment="1" applyBorder="1" applyFill="1" applyFont="1">
      <alignment shrinkToFit="0" vertical="center" wrapText="1"/>
    </xf>
    <xf borderId="0" fillId="0" fontId="11" numFmtId="0" xfId="0" applyAlignment="1" applyFont="1">
      <alignment vertical="bottom"/>
    </xf>
    <xf borderId="1" fillId="0" fontId="5" numFmtId="0" xfId="0" applyAlignment="1" applyBorder="1" applyFont="1">
      <alignment shrinkToFit="0" vertical="top" wrapText="1"/>
    </xf>
    <xf borderId="1" fillId="0" fontId="9" numFmtId="0" xfId="0" applyAlignment="1" applyBorder="1" applyFont="1">
      <alignment shrinkToFit="0" vertical="center" wrapText="1"/>
    </xf>
    <xf borderId="3" fillId="0" fontId="5" numFmtId="0" xfId="0" applyAlignment="1" applyBorder="1" applyFont="1">
      <alignment shrinkToFit="0" vertical="top" wrapText="1"/>
    </xf>
    <xf borderId="4" fillId="0" fontId="12" numFmtId="0" xfId="0" applyBorder="1" applyFont="1"/>
    <xf borderId="5" fillId="0" fontId="12" numFmtId="0" xfId="0" applyBorder="1" applyFont="1"/>
    <xf borderId="3" fillId="0" fontId="5" numFmtId="0" xfId="0" applyAlignment="1" applyBorder="1" applyFont="1">
      <alignment shrinkToFit="0" vertical="center" wrapText="1"/>
    </xf>
    <xf borderId="1" fillId="4" fontId="5" numFmtId="164" xfId="0" applyAlignment="1" applyBorder="1" applyFill="1" applyFont="1" applyNumberFormat="1">
      <alignment readingOrder="0" shrinkToFit="0" vertical="center" wrapText="1"/>
    </xf>
    <xf borderId="1" fillId="4" fontId="13" numFmtId="164" xfId="0" applyAlignment="1" applyBorder="1" applyFill="1" applyFont="1" applyNumberFormat="1">
      <alignment shrinkToFit="0" vertical="center" wrapText="1"/>
    </xf>
    <xf borderId="1" fillId="3" fontId="14" numFmtId="0" xfId="0" applyAlignment="1" applyBorder="1" applyFill="1" applyFont="1">
      <alignment readingOrder="0" shrinkToFit="0" vertical="center" wrapText="1"/>
    </xf>
    <xf borderId="1" fillId="3" fontId="10" numFmtId="0" xfId="0" applyAlignment="1" applyBorder="1" applyFill="1" applyFont="1">
      <alignment readingOrder="0" shrinkToFit="0" vertical="center" wrapText="1"/>
    </xf>
    <xf borderId="1" fillId="3" fontId="10" numFmtId="164" xfId="0" applyAlignment="1" applyBorder="1" applyFill="1" applyFont="1" applyNumberFormat="1">
      <alignment readingOrder="0" shrinkToFit="0" vertical="center" wrapText="1"/>
    </xf>
    <xf borderId="1" fillId="0" fontId="10" numFmtId="0" xfId="0" applyAlignment="1" applyBorder="1" applyFont="1">
      <alignment readingOrder="0" shrinkToFit="0" vertical="center" wrapText="1"/>
    </xf>
    <xf borderId="1" fillId="0" fontId="10" numFmtId="164" xfId="0" applyAlignment="1" applyBorder="1" applyFont="1" applyNumberFormat="1">
      <alignment readingOrder="0" shrinkToFit="0" vertical="center" wrapText="1"/>
    </xf>
    <xf borderId="1" fillId="0" fontId="15" numFmtId="0" xfId="0" applyAlignment="1" applyBorder="1" applyFont="1">
      <alignment readingOrder="0" shrinkToFit="0" vertical="center" wrapText="1"/>
    </xf>
    <xf borderId="1" fillId="0" fontId="10" numFmtId="4" xfId="0" applyAlignment="1" applyBorder="1" applyFont="1" applyNumberFormat="1">
      <alignment shrinkToFit="0" vertical="top" wrapText="1"/>
    </xf>
    <xf borderId="1" fillId="4" fontId="13" numFmtId="4" xfId="0" applyAlignment="1" applyBorder="1" applyFill="1" applyFont="1" applyNumberFormat="1">
      <alignment shrinkToFit="0" vertical="top" wrapText="1"/>
    </xf>
    <xf borderId="1" fillId="3" fontId="10" numFmtId="4" xfId="0" applyAlignment="1" applyBorder="1" applyFill="1" applyFont="1" applyNumberFormat="1">
      <alignment shrinkToFit="0" vertical="top" wrapText="1"/>
    </xf>
    <xf borderId="1" fillId="4" fontId="16" numFmtId="4" xfId="0" applyAlignment="1" applyBorder="1" applyFill="1" applyFont="1" applyNumberFormat="1">
      <alignment vertical="bottom"/>
    </xf>
    <xf borderId="1" fillId="4" fontId="16" numFmtId="0" xfId="0" applyAlignment="1" applyBorder="1" applyFill="1" applyFont="1">
      <alignment vertical="bottom"/>
    </xf>
    <xf borderId="1" fillId="0" fontId="9" numFmtId="0" xfId="0" applyAlignment="1" applyBorder="1" applyFont="1">
      <alignment horizontal="left" shrinkToFit="0" vertical="center" wrapText="1"/>
    </xf>
    <xf borderId="1" fillId="4" fontId="17" numFmtId="0" xfId="0" applyAlignment="1" applyBorder="1" applyFill="1" applyFont="1">
      <alignment horizontal="center" shrinkToFit="0" vertical="center" wrapText="1"/>
    </xf>
    <xf borderId="1" fillId="0" fontId="18" numFmtId="0" xfId="0" applyAlignment="1" applyBorder="1" applyFont="1">
      <alignment horizontal="left" shrinkToFit="0" vertical="center" wrapText="1"/>
    </xf>
    <xf borderId="6" fillId="6" fontId="5" numFmtId="0" xfId="0" applyAlignment="1" applyBorder="1" applyFill="1" applyFont="1">
      <alignment shrinkToFit="0" vertical="top" wrapText="1"/>
    </xf>
    <xf borderId="7" fillId="0" fontId="12" numFmtId="0" xfId="0" applyBorder="1" applyFont="1"/>
    <xf borderId="8" fillId="0" fontId="12" numFmtId="0" xfId="0" applyBorder="1" applyFont="1"/>
    <xf borderId="9" fillId="0" fontId="12" numFmtId="0" xfId="0" applyBorder="1" applyFont="1"/>
    <xf borderId="10" fillId="0" fontId="12" numFmtId="0" xfId="0" applyBorder="1" applyFont="1"/>
    <xf borderId="11"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guara-opssi-2026-q1.netlify.app/" TargetMode="External"/><Relationship Id="rId3" Type="http://schemas.openxmlformats.org/officeDocument/2006/relationships/hyperlink" Target="https://www.mercadopago.com.ar/ayuda/26748" TargetMode="Externa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214.14"/>
    <col customWidth="1" min="3" max="6" width="8.71"/>
  </cols>
  <sheetData>
    <row r="1" ht="19.5" customHeight="1">
      <c r="A1" s="3" t="s">
        <v>2</v>
      </c>
      <c r="G1" s="2"/>
      <c r="H1" s="2"/>
      <c r="I1" s="2"/>
      <c r="J1" s="2"/>
      <c r="K1" s="2"/>
      <c r="L1" s="2"/>
      <c r="M1" s="2"/>
      <c r="N1" s="2"/>
      <c r="O1" s="2"/>
      <c r="P1" s="2"/>
      <c r="Q1" s="2"/>
      <c r="R1" s="2"/>
      <c r="S1" s="2"/>
      <c r="T1" s="2"/>
      <c r="U1" s="2"/>
      <c r="V1" s="2"/>
      <c r="W1" s="2"/>
      <c r="X1" s="2"/>
      <c r="Y1" s="2"/>
      <c r="Z1" s="2"/>
    </row>
    <row r="2" ht="25.5" customHeight="1">
      <c r="A2" s="5" t="s">
        <v>6</v>
      </c>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43.5" customHeight="1">
      <c r="A4" s="8" t="s">
        <v>9</v>
      </c>
      <c r="B4" s="9" t="s">
        <v>28</v>
      </c>
      <c r="C4" s="10"/>
      <c r="D4" s="10"/>
      <c r="E4" s="10"/>
      <c r="F4" s="10"/>
      <c r="G4" s="10"/>
      <c r="H4" s="10"/>
      <c r="I4" s="10"/>
      <c r="J4" s="10"/>
      <c r="K4" s="10"/>
      <c r="L4" s="10"/>
      <c r="M4" s="10"/>
      <c r="N4" s="10"/>
      <c r="O4" s="10"/>
      <c r="P4" s="10"/>
      <c r="Q4" s="10"/>
      <c r="R4" s="10"/>
      <c r="S4" s="10"/>
      <c r="T4" s="10"/>
      <c r="U4" s="10"/>
      <c r="V4" s="10"/>
      <c r="W4" s="10"/>
      <c r="X4" s="10"/>
      <c r="Y4" s="10"/>
      <c r="Z4" s="10"/>
    </row>
    <row r="5" ht="43.5" customHeight="1">
      <c r="A5" s="11" t="s">
        <v>44</v>
      </c>
      <c r="B5" s="12" t="s">
        <v>49</v>
      </c>
      <c r="C5" s="10"/>
      <c r="D5" s="10"/>
      <c r="E5" s="10"/>
      <c r="F5" s="10"/>
      <c r="G5" s="10"/>
      <c r="H5" s="10"/>
      <c r="I5" s="10"/>
      <c r="J5" s="10"/>
      <c r="K5" s="10"/>
      <c r="L5" s="10"/>
      <c r="M5" s="10"/>
      <c r="N5" s="10"/>
      <c r="O5" s="10"/>
      <c r="P5" s="10"/>
      <c r="Q5" s="10"/>
      <c r="R5" s="10"/>
      <c r="S5" s="10"/>
      <c r="T5" s="10"/>
      <c r="U5" s="10"/>
      <c r="V5" s="10"/>
      <c r="W5" s="10"/>
      <c r="X5" s="10"/>
      <c r="Y5" s="10"/>
      <c r="Z5" s="10"/>
    </row>
    <row r="6" ht="43.5" customHeight="1">
      <c r="A6" s="8" t="s">
        <v>50</v>
      </c>
      <c r="B6" s="9" t="s">
        <v>51</v>
      </c>
      <c r="C6" s="10"/>
      <c r="D6" s="10"/>
      <c r="E6" s="10"/>
      <c r="F6" s="10"/>
      <c r="G6" s="10"/>
      <c r="H6" s="10"/>
      <c r="I6" s="10"/>
      <c r="J6" s="10"/>
      <c r="K6" s="10"/>
      <c r="L6" s="10"/>
      <c r="M6" s="10"/>
      <c r="N6" s="10"/>
      <c r="O6" s="10"/>
      <c r="P6" s="10"/>
      <c r="Q6" s="10"/>
      <c r="R6" s="10"/>
      <c r="S6" s="10"/>
      <c r="T6" s="10"/>
      <c r="U6" s="10"/>
      <c r="V6" s="10"/>
      <c r="W6" s="10"/>
      <c r="X6" s="10"/>
      <c r="Y6" s="10"/>
      <c r="Z6" s="10"/>
    </row>
    <row r="7" ht="43.5" customHeight="1">
      <c r="A7" s="11" t="s">
        <v>53</v>
      </c>
      <c r="B7" s="12" t="s">
        <v>55</v>
      </c>
      <c r="C7" s="10"/>
      <c r="D7" s="10"/>
      <c r="E7" s="10"/>
      <c r="F7" s="10"/>
      <c r="G7" s="10"/>
      <c r="H7" s="10"/>
      <c r="I7" s="10"/>
      <c r="J7" s="10"/>
      <c r="K7" s="10"/>
      <c r="L7" s="10"/>
      <c r="M7" s="10"/>
      <c r="N7" s="10"/>
      <c r="O7" s="10"/>
      <c r="P7" s="10"/>
      <c r="Q7" s="10"/>
      <c r="R7" s="10"/>
      <c r="S7" s="10"/>
      <c r="T7" s="10"/>
      <c r="U7" s="10"/>
      <c r="V7" s="10"/>
      <c r="W7" s="10"/>
      <c r="X7" s="10"/>
      <c r="Y7" s="10"/>
      <c r="Z7" s="10"/>
    </row>
    <row r="8" ht="43.5" customHeight="1">
      <c r="A8" s="8" t="s">
        <v>57</v>
      </c>
      <c r="B8" s="9" t="s">
        <v>58</v>
      </c>
      <c r="C8" s="10"/>
      <c r="D8" s="10"/>
      <c r="E8" s="10"/>
      <c r="F8" s="10"/>
      <c r="G8" s="10"/>
      <c r="H8" s="10"/>
      <c r="I8" s="10"/>
      <c r="J8" s="10"/>
      <c r="K8" s="10"/>
      <c r="L8" s="10"/>
      <c r="M8" s="10"/>
      <c r="N8" s="10"/>
      <c r="O8" s="10"/>
      <c r="P8" s="10"/>
      <c r="Q8" s="10"/>
      <c r="R8" s="10"/>
      <c r="S8" s="10"/>
      <c r="T8" s="10"/>
      <c r="U8" s="10"/>
      <c r="V8" s="10"/>
      <c r="W8" s="10"/>
      <c r="X8" s="10"/>
      <c r="Y8" s="10"/>
      <c r="Z8" s="10"/>
    </row>
    <row r="9" ht="43.5" customHeight="1">
      <c r="A9" s="11" t="s">
        <v>59</v>
      </c>
      <c r="B9" s="12" t="s">
        <v>60</v>
      </c>
      <c r="C9" s="10"/>
      <c r="D9" s="10"/>
      <c r="E9" s="10"/>
      <c r="F9" s="10"/>
      <c r="G9" s="10"/>
      <c r="H9" s="10"/>
      <c r="I9" s="10"/>
      <c r="J9" s="10"/>
      <c r="K9" s="10"/>
      <c r="L9" s="10"/>
      <c r="M9" s="10"/>
      <c r="N9" s="10"/>
      <c r="O9" s="10"/>
      <c r="P9" s="10"/>
      <c r="Q9" s="10"/>
      <c r="R9" s="10"/>
      <c r="S9" s="10"/>
      <c r="T9" s="10"/>
      <c r="U9" s="10"/>
      <c r="V9" s="10"/>
      <c r="W9" s="10"/>
      <c r="X9" s="10"/>
      <c r="Y9" s="10"/>
      <c r="Z9" s="10"/>
    </row>
    <row r="10" ht="43.5" customHeight="1">
      <c r="A10" s="8" t="s">
        <v>62</v>
      </c>
      <c r="B10" s="9" t="s">
        <v>63</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4" t="s">
        <v>64</v>
      </c>
      <c r="B12" s="2"/>
      <c r="C12" s="2"/>
      <c r="D12" s="2"/>
      <c r="E12" s="2"/>
      <c r="F12" s="2"/>
      <c r="G12" s="2"/>
      <c r="H12" s="2"/>
      <c r="I12" s="2"/>
      <c r="J12" s="2"/>
      <c r="K12" s="2"/>
      <c r="L12" s="2"/>
      <c r="M12" s="2"/>
      <c r="N12" s="2"/>
      <c r="O12" s="2"/>
      <c r="P12" s="2"/>
      <c r="Q12" s="2"/>
      <c r="R12" s="2"/>
      <c r="S12" s="2"/>
      <c r="T12" s="2"/>
      <c r="U12" s="2"/>
      <c r="V12" s="2"/>
      <c r="W12" s="2"/>
      <c r="X12" s="2"/>
      <c r="Y12" s="2"/>
      <c r="Z12" s="2"/>
    </row>
    <row r="13">
      <c r="A13" s="16" t="s">
        <v>68</v>
      </c>
      <c r="B13" s="17" t="s">
        <v>92</v>
      </c>
      <c r="C13" s="2"/>
      <c r="D13" s="2"/>
      <c r="E13" s="2"/>
      <c r="F13" s="2"/>
      <c r="G13" s="2"/>
      <c r="H13" s="2"/>
      <c r="I13" s="2"/>
      <c r="J13" s="2"/>
      <c r="K13" s="2"/>
      <c r="L13" s="2"/>
      <c r="M13" s="2"/>
      <c r="N13" s="2"/>
      <c r="O13" s="2"/>
      <c r="P13" s="2"/>
      <c r="Q13" s="2"/>
      <c r="R13" s="2"/>
      <c r="S13" s="2"/>
      <c r="T13" s="2"/>
      <c r="U13" s="2"/>
      <c r="V13" s="2"/>
      <c r="W13" s="2"/>
      <c r="X13" s="2"/>
      <c r="Y13" s="2"/>
      <c r="Z13" s="2"/>
    </row>
    <row r="14">
      <c r="A14" s="19" t="s">
        <v>107</v>
      </c>
      <c r="B14" s="17" t="s">
        <v>138</v>
      </c>
      <c r="C14" s="2"/>
      <c r="D14" s="2"/>
      <c r="E14" s="2"/>
      <c r="F14" s="2"/>
      <c r="G14" s="2"/>
      <c r="H14" s="2"/>
      <c r="I14" s="2"/>
      <c r="J14" s="2"/>
      <c r="K14" s="2"/>
      <c r="L14" s="2"/>
      <c r="M14" s="2"/>
      <c r="N14" s="2"/>
      <c r="O14" s="2"/>
      <c r="P14" s="2"/>
      <c r="Q14" s="2"/>
      <c r="R14" s="2"/>
      <c r="S14" s="2"/>
      <c r="T14" s="2"/>
      <c r="U14" s="2"/>
      <c r="V14" s="2"/>
      <c r="W14" s="2"/>
      <c r="X14" s="2"/>
      <c r="Y14" s="2"/>
      <c r="Z14" s="2"/>
    </row>
    <row r="15">
      <c r="A15" s="21" t="s">
        <v>145</v>
      </c>
      <c r="B15" s="17" t="s">
        <v>162</v>
      </c>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F1"/>
    <mergeCell ref="A2:F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29"/>
    <col customWidth="1" min="2" max="2" width="40.0"/>
    <col customWidth="1" min="3" max="3" width="13.0"/>
    <col customWidth="1" min="4" max="4" width="15.57"/>
    <col customWidth="1" min="5" max="5" width="11.0"/>
    <col customWidth="1" min="6" max="6" width="26.0"/>
    <col customWidth="1" min="7" max="7" width="70.14"/>
    <col customWidth="1" min="8" max="8" width="11.0"/>
    <col customWidth="1" min="9" max="9" width="11.86"/>
    <col customWidth="1" min="10" max="10" width="8.43"/>
    <col customWidth="1" min="11" max="11" width="9.71"/>
    <col customWidth="1" min="12" max="12" width="15.0"/>
  </cols>
  <sheetData>
    <row r="1" ht="30.75" customHeight="1">
      <c r="A1" s="1" t="s">
        <v>1</v>
      </c>
      <c r="H1" s="2"/>
      <c r="I1" s="2"/>
      <c r="J1" s="2"/>
      <c r="K1" s="2"/>
      <c r="L1" s="2"/>
      <c r="M1" s="2"/>
      <c r="N1" s="2"/>
      <c r="O1" s="2"/>
      <c r="P1" s="2"/>
      <c r="Q1" s="2"/>
      <c r="R1" s="2"/>
      <c r="S1" s="2"/>
      <c r="T1" s="2"/>
      <c r="U1" s="2"/>
      <c r="V1" s="2"/>
      <c r="W1" s="2"/>
      <c r="X1" s="2"/>
      <c r="Y1" s="2"/>
      <c r="Z1" s="2"/>
    </row>
    <row r="2" ht="30.75" customHeight="1">
      <c r="A2" s="4" t="s">
        <v>5</v>
      </c>
      <c r="H2" s="2"/>
      <c r="I2" s="2"/>
      <c r="J2" s="2"/>
      <c r="K2" s="2"/>
      <c r="L2" s="2"/>
      <c r="M2" s="2"/>
      <c r="N2" s="2"/>
      <c r="O2" s="2"/>
      <c r="P2" s="2"/>
      <c r="Q2" s="2"/>
      <c r="R2" s="2"/>
      <c r="S2" s="2"/>
      <c r="T2" s="2"/>
      <c r="U2" s="2"/>
      <c r="V2" s="2"/>
      <c r="W2" s="2"/>
      <c r="X2" s="2"/>
      <c r="Y2" s="2"/>
      <c r="Z2" s="2"/>
    </row>
    <row r="3" ht="12.0" customHeight="1">
      <c r="A3" s="2"/>
      <c r="B3" s="2"/>
      <c r="C3" s="2"/>
      <c r="D3" s="2"/>
      <c r="E3" s="2"/>
      <c r="F3" s="2"/>
      <c r="G3" s="2"/>
      <c r="H3" s="2"/>
      <c r="I3" s="2"/>
      <c r="J3" s="2"/>
      <c r="K3" s="2"/>
      <c r="L3" s="2"/>
      <c r="M3" s="2"/>
      <c r="N3" s="2"/>
      <c r="O3" s="2"/>
      <c r="P3" s="2"/>
      <c r="Q3" s="2"/>
      <c r="R3" s="2"/>
      <c r="S3" s="2"/>
      <c r="T3" s="2"/>
      <c r="U3" s="2"/>
      <c r="V3" s="2"/>
      <c r="W3" s="2"/>
      <c r="X3" s="2"/>
      <c r="Y3" s="2"/>
      <c r="Z3" s="2"/>
    </row>
    <row r="4" ht="41.25" customHeight="1">
      <c r="A4" s="6" t="s">
        <v>8</v>
      </c>
      <c r="B4" s="6" t="s">
        <v>12</v>
      </c>
      <c r="C4" s="6" t="s">
        <v>13</v>
      </c>
      <c r="D4" s="6" t="s">
        <v>14</v>
      </c>
      <c r="E4" s="6" t="s">
        <v>15</v>
      </c>
      <c r="F4" s="6" t="s">
        <v>16</v>
      </c>
      <c r="G4" s="6" t="s">
        <v>17</v>
      </c>
      <c r="H4" s="6" t="s">
        <v>18</v>
      </c>
      <c r="I4" s="6" t="s">
        <v>19</v>
      </c>
      <c r="J4" s="6" t="s">
        <v>20</v>
      </c>
      <c r="K4" s="6" t="s">
        <v>21</v>
      </c>
      <c r="L4" s="6" t="s">
        <v>22</v>
      </c>
      <c r="M4" s="2"/>
      <c r="N4" s="2"/>
      <c r="O4" s="2"/>
      <c r="P4" s="2"/>
      <c r="Q4" s="2"/>
      <c r="R4" s="2"/>
      <c r="S4" s="2"/>
      <c r="T4" s="2"/>
      <c r="U4" s="2"/>
      <c r="V4" s="2"/>
      <c r="W4" s="2"/>
      <c r="X4" s="2"/>
      <c r="Y4" s="2"/>
      <c r="Z4" s="2"/>
    </row>
    <row r="5" ht="76.5" customHeight="1">
      <c r="A5" s="7" t="s">
        <v>23</v>
      </c>
      <c r="B5" s="7" t="s">
        <v>24</v>
      </c>
      <c r="C5" s="7" t="s">
        <v>25</v>
      </c>
      <c r="D5" s="7"/>
      <c r="E5" s="7" t="s">
        <v>26</v>
      </c>
      <c r="F5" s="7" t="s">
        <v>27</v>
      </c>
      <c r="G5" s="7" t="s">
        <v>29</v>
      </c>
      <c r="H5" s="7" t="s">
        <v>30</v>
      </c>
      <c r="I5" s="7" t="s">
        <v>36</v>
      </c>
      <c r="J5" s="7">
        <v>1.0</v>
      </c>
      <c r="K5" s="7" t="s">
        <v>37</v>
      </c>
      <c r="L5" s="15" t="str">
        <f t="shared" ref="L5:L201" si="1">IF($A5="","",IF(COUNTBLANK($B5:$C5)+COUNTBLANK($E5:$H5)&gt;0,"Faltan campos",IF(AND($C5="No funcional",$D5=""),"Falta categoría",IF($K5="","Falta definir si integra el MVP","Fila completa"))))</f>
        <v>Fila completa</v>
      </c>
      <c r="M5" s="2"/>
      <c r="N5" s="2"/>
      <c r="O5" s="2"/>
      <c r="P5" s="2"/>
      <c r="Q5" s="2"/>
      <c r="R5" s="2"/>
      <c r="S5" s="2"/>
      <c r="T5" s="2"/>
      <c r="U5" s="2"/>
      <c r="V5" s="2"/>
      <c r="W5" s="2"/>
      <c r="X5" s="2"/>
      <c r="Y5" s="2"/>
      <c r="Z5" s="2"/>
    </row>
    <row r="6" ht="62.25" customHeight="1">
      <c r="A6" s="13" t="s">
        <v>75</v>
      </c>
      <c r="B6" s="13" t="s">
        <v>76</v>
      </c>
      <c r="C6" s="13" t="s">
        <v>25</v>
      </c>
      <c r="D6" s="13"/>
      <c r="E6" s="13" t="s">
        <v>26</v>
      </c>
      <c r="F6" s="13" t="s">
        <v>83</v>
      </c>
      <c r="G6" s="13" t="s">
        <v>84</v>
      </c>
      <c r="H6" s="13" t="s">
        <v>86</v>
      </c>
      <c r="I6" s="13" t="s">
        <v>36</v>
      </c>
      <c r="J6" s="13">
        <v>1.0</v>
      </c>
      <c r="K6" s="13" t="s">
        <v>37</v>
      </c>
      <c r="L6" s="15" t="str">
        <f t="shared" si="1"/>
        <v>Fila completa</v>
      </c>
      <c r="M6" s="2"/>
      <c r="N6" s="2"/>
      <c r="O6" s="2"/>
      <c r="P6" s="2"/>
      <c r="Q6" s="2"/>
      <c r="R6" s="2"/>
      <c r="S6" s="2"/>
      <c r="T6" s="2"/>
      <c r="U6" s="2"/>
      <c r="V6" s="2"/>
      <c r="W6" s="2"/>
      <c r="X6" s="2"/>
      <c r="Y6" s="2"/>
      <c r="Z6" s="2"/>
    </row>
    <row r="7" ht="72.75" customHeight="1">
      <c r="A7" s="7" t="s">
        <v>99</v>
      </c>
      <c r="B7" s="18" t="s">
        <v>101</v>
      </c>
      <c r="C7" s="7" t="s">
        <v>25</v>
      </c>
      <c r="D7" s="7"/>
      <c r="E7" s="7" t="s">
        <v>26</v>
      </c>
      <c r="F7" s="7" t="s">
        <v>123</v>
      </c>
      <c r="G7" s="18" t="s">
        <v>125</v>
      </c>
      <c r="H7" s="7" t="s">
        <v>127</v>
      </c>
      <c r="I7" s="7" t="s">
        <v>36</v>
      </c>
      <c r="J7" s="7">
        <v>2.0</v>
      </c>
      <c r="K7" s="7" t="s">
        <v>37</v>
      </c>
      <c r="L7" s="15" t="str">
        <f t="shared" si="1"/>
        <v>Fila completa</v>
      </c>
      <c r="M7" s="2"/>
      <c r="N7" s="2"/>
      <c r="O7" s="2"/>
      <c r="P7" s="2"/>
      <c r="Q7" s="2"/>
      <c r="R7" s="2"/>
      <c r="S7" s="2"/>
      <c r="T7" s="2"/>
      <c r="U7" s="2"/>
      <c r="V7" s="2"/>
      <c r="W7" s="2"/>
      <c r="X7" s="2"/>
      <c r="Y7" s="2"/>
      <c r="Z7" s="2"/>
    </row>
    <row r="8" ht="72.75" customHeight="1">
      <c r="A8" s="13" t="s">
        <v>134</v>
      </c>
      <c r="B8" s="13" t="s">
        <v>135</v>
      </c>
      <c r="C8" s="13" t="s">
        <v>25</v>
      </c>
      <c r="D8" s="13"/>
      <c r="E8" s="13" t="s">
        <v>26</v>
      </c>
      <c r="F8" s="13" t="s">
        <v>140</v>
      </c>
      <c r="G8" s="13" t="s">
        <v>141</v>
      </c>
      <c r="H8" s="13" t="s">
        <v>136</v>
      </c>
      <c r="I8" s="13" t="s">
        <v>36</v>
      </c>
      <c r="J8" s="13">
        <v>2.0</v>
      </c>
      <c r="K8" s="13" t="s">
        <v>37</v>
      </c>
      <c r="L8" s="15" t="str">
        <f t="shared" si="1"/>
        <v>Fila completa</v>
      </c>
      <c r="M8" s="2"/>
      <c r="N8" s="2"/>
      <c r="O8" s="2"/>
      <c r="P8" s="2"/>
      <c r="Q8" s="2"/>
      <c r="R8" s="2"/>
      <c r="S8" s="2"/>
      <c r="T8" s="2"/>
      <c r="U8" s="2"/>
      <c r="V8" s="2"/>
      <c r="W8" s="2"/>
      <c r="X8" s="2"/>
      <c r="Y8" s="2"/>
      <c r="Z8" s="2"/>
    </row>
    <row r="9" ht="69.75" customHeight="1">
      <c r="A9" s="7" t="s">
        <v>144</v>
      </c>
      <c r="B9" s="7" t="s">
        <v>147</v>
      </c>
      <c r="C9" s="7" t="s">
        <v>25</v>
      </c>
      <c r="D9" s="7"/>
      <c r="E9" s="7" t="s">
        <v>151</v>
      </c>
      <c r="F9" s="7" t="s">
        <v>152</v>
      </c>
      <c r="G9" s="7" t="s">
        <v>153</v>
      </c>
      <c r="H9" s="7" t="s">
        <v>142</v>
      </c>
      <c r="I9" s="18" t="s">
        <v>36</v>
      </c>
      <c r="J9" s="7">
        <v>3.0</v>
      </c>
      <c r="K9" s="7" t="s">
        <v>91</v>
      </c>
      <c r="L9" s="15" t="str">
        <f t="shared" si="1"/>
        <v>Fila completa</v>
      </c>
      <c r="M9" s="2"/>
      <c r="N9" s="2"/>
      <c r="O9" s="2"/>
      <c r="P9" s="2"/>
      <c r="Q9" s="2"/>
      <c r="R9" s="2"/>
      <c r="S9" s="2"/>
      <c r="T9" s="2"/>
      <c r="U9" s="2"/>
      <c r="V9" s="2"/>
      <c r="W9" s="2"/>
      <c r="X9" s="2"/>
      <c r="Y9" s="2"/>
      <c r="Z9" s="2"/>
    </row>
    <row r="10" ht="70.5" customHeight="1">
      <c r="A10" s="13" t="s">
        <v>150</v>
      </c>
      <c r="B10" s="13" t="s">
        <v>160</v>
      </c>
      <c r="C10" s="13" t="s">
        <v>25</v>
      </c>
      <c r="D10" s="13"/>
      <c r="E10" s="13" t="s">
        <v>151</v>
      </c>
      <c r="F10" s="13" t="s">
        <v>166</v>
      </c>
      <c r="G10" s="13" t="s">
        <v>167</v>
      </c>
      <c r="H10" s="13" t="s">
        <v>146</v>
      </c>
      <c r="I10" s="13" t="s">
        <v>36</v>
      </c>
      <c r="J10" s="13">
        <v>3.0</v>
      </c>
      <c r="K10" s="13" t="s">
        <v>91</v>
      </c>
      <c r="L10" s="15" t="str">
        <f t="shared" si="1"/>
        <v>Fila completa</v>
      </c>
      <c r="M10" s="2"/>
      <c r="N10" s="2"/>
      <c r="O10" s="2"/>
      <c r="P10" s="2"/>
      <c r="Q10" s="2"/>
      <c r="R10" s="2"/>
      <c r="S10" s="2"/>
      <c r="T10" s="2"/>
      <c r="U10" s="2"/>
      <c r="V10" s="2"/>
      <c r="W10" s="2"/>
      <c r="X10" s="2"/>
      <c r="Y10" s="2"/>
      <c r="Z10" s="2"/>
    </row>
    <row r="11" ht="72.75" customHeight="1">
      <c r="A11" s="7" t="s">
        <v>171</v>
      </c>
      <c r="B11" s="7" t="s">
        <v>173</v>
      </c>
      <c r="C11" s="7" t="s">
        <v>25</v>
      </c>
      <c r="D11" s="7"/>
      <c r="E11" s="7" t="s">
        <v>26</v>
      </c>
      <c r="F11" s="7" t="s">
        <v>177</v>
      </c>
      <c r="G11" s="7" t="s">
        <v>178</v>
      </c>
      <c r="H11" s="7" t="s">
        <v>179</v>
      </c>
      <c r="I11" s="7" t="s">
        <v>36</v>
      </c>
      <c r="J11" s="7">
        <v>2.0</v>
      </c>
      <c r="K11" s="7" t="s">
        <v>37</v>
      </c>
      <c r="L11" s="15" t="str">
        <f t="shared" si="1"/>
        <v>Fila completa</v>
      </c>
      <c r="M11" s="2"/>
      <c r="N11" s="2"/>
      <c r="O11" s="2"/>
      <c r="P11" s="2"/>
      <c r="Q11" s="2"/>
      <c r="R11" s="2"/>
      <c r="S11" s="2"/>
      <c r="T11" s="2"/>
      <c r="U11" s="2"/>
      <c r="V11" s="2"/>
      <c r="W11" s="2"/>
      <c r="X11" s="2"/>
      <c r="Y11" s="2"/>
      <c r="Z11" s="2"/>
    </row>
    <row r="12" ht="63.75" customHeight="1">
      <c r="A12" s="13" t="s">
        <v>176</v>
      </c>
      <c r="B12" s="13" t="s">
        <v>184</v>
      </c>
      <c r="C12" s="13" t="s">
        <v>25</v>
      </c>
      <c r="D12" s="13"/>
      <c r="E12" s="13" t="s">
        <v>26</v>
      </c>
      <c r="F12" s="13" t="s">
        <v>189</v>
      </c>
      <c r="G12" s="13" t="s">
        <v>190</v>
      </c>
      <c r="H12" s="13" t="s">
        <v>172</v>
      </c>
      <c r="I12" s="13" t="s">
        <v>36</v>
      </c>
      <c r="J12" s="13">
        <v>1.0</v>
      </c>
      <c r="K12" s="13" t="s">
        <v>37</v>
      </c>
      <c r="L12" s="15" t="str">
        <f t="shared" si="1"/>
        <v>Fila completa</v>
      </c>
      <c r="M12" s="2"/>
      <c r="N12" s="2"/>
      <c r="O12" s="2"/>
      <c r="P12" s="2"/>
      <c r="Q12" s="2"/>
      <c r="R12" s="2"/>
      <c r="S12" s="2"/>
      <c r="T12" s="2"/>
      <c r="U12" s="2"/>
      <c r="V12" s="2"/>
      <c r="W12" s="2"/>
      <c r="X12" s="2"/>
      <c r="Y12" s="2"/>
      <c r="Z12" s="2"/>
    </row>
    <row r="13" ht="73.5" customHeight="1">
      <c r="A13" s="7" t="s">
        <v>194</v>
      </c>
      <c r="B13" s="7" t="s">
        <v>195</v>
      </c>
      <c r="C13" s="7" t="s">
        <v>25</v>
      </c>
      <c r="D13" s="7"/>
      <c r="E13" s="7" t="s">
        <v>151</v>
      </c>
      <c r="F13" s="7" t="s">
        <v>197</v>
      </c>
      <c r="G13" s="7" t="s">
        <v>199</v>
      </c>
      <c r="H13" s="7" t="s">
        <v>180</v>
      </c>
      <c r="I13" s="18" t="s">
        <v>36</v>
      </c>
      <c r="J13" s="7">
        <v>4.0</v>
      </c>
      <c r="K13" s="7" t="s">
        <v>91</v>
      </c>
      <c r="L13" s="15" t="str">
        <f t="shared" si="1"/>
        <v>Fila completa</v>
      </c>
      <c r="M13" s="2"/>
      <c r="N13" s="2"/>
      <c r="O13" s="2"/>
      <c r="P13" s="2"/>
      <c r="Q13" s="2"/>
      <c r="R13" s="2"/>
      <c r="S13" s="2"/>
      <c r="T13" s="2"/>
      <c r="U13" s="2"/>
      <c r="V13" s="2"/>
      <c r="W13" s="2"/>
      <c r="X13" s="2"/>
      <c r="Y13" s="2"/>
      <c r="Z13" s="2"/>
    </row>
    <row r="14" ht="62.25" customHeight="1">
      <c r="A14" s="13" t="s">
        <v>188</v>
      </c>
      <c r="B14" s="13" t="s">
        <v>206</v>
      </c>
      <c r="C14" s="13" t="s">
        <v>25</v>
      </c>
      <c r="D14" s="13"/>
      <c r="E14" s="13" t="s">
        <v>151</v>
      </c>
      <c r="F14" s="13" t="s">
        <v>209</v>
      </c>
      <c r="G14" s="13" t="s">
        <v>211</v>
      </c>
      <c r="H14" s="13" t="s">
        <v>185</v>
      </c>
      <c r="I14" s="13" t="s">
        <v>36</v>
      </c>
      <c r="J14" s="13">
        <v>3.0</v>
      </c>
      <c r="K14" s="13" t="s">
        <v>91</v>
      </c>
      <c r="L14" s="15" t="str">
        <f t="shared" si="1"/>
        <v>Fila completa</v>
      </c>
      <c r="M14" s="2"/>
      <c r="N14" s="2"/>
      <c r="O14" s="2"/>
      <c r="P14" s="2"/>
      <c r="Q14" s="2"/>
      <c r="R14" s="2"/>
      <c r="S14" s="2"/>
      <c r="T14" s="2"/>
      <c r="U14" s="2"/>
      <c r="V14" s="2"/>
      <c r="W14" s="2"/>
      <c r="X14" s="2"/>
      <c r="Y14" s="2"/>
      <c r="Z14" s="2"/>
    </row>
    <row r="15" ht="60.0" customHeight="1">
      <c r="A15" s="7" t="s">
        <v>201</v>
      </c>
      <c r="B15" s="7" t="s">
        <v>213</v>
      </c>
      <c r="C15" s="7" t="s">
        <v>25</v>
      </c>
      <c r="D15" s="7"/>
      <c r="E15" s="7" t="s">
        <v>26</v>
      </c>
      <c r="F15" s="7" t="s">
        <v>214</v>
      </c>
      <c r="G15" s="7" t="s">
        <v>215</v>
      </c>
      <c r="H15" s="7" t="s">
        <v>216</v>
      </c>
      <c r="I15" s="7" t="s">
        <v>36</v>
      </c>
      <c r="J15" s="7">
        <v>1.0</v>
      </c>
      <c r="K15" s="7" t="s">
        <v>37</v>
      </c>
      <c r="L15" s="15" t="str">
        <f t="shared" si="1"/>
        <v>Fila completa</v>
      </c>
      <c r="M15" s="2"/>
      <c r="N15" s="2"/>
      <c r="O15" s="2"/>
      <c r="P15" s="2"/>
      <c r="Q15" s="2"/>
      <c r="R15" s="2"/>
      <c r="S15" s="2"/>
      <c r="T15" s="2"/>
      <c r="U15" s="2"/>
      <c r="V15" s="2"/>
      <c r="W15" s="2"/>
      <c r="X15" s="2"/>
      <c r="Y15" s="2"/>
      <c r="Z15" s="2"/>
    </row>
    <row r="16" ht="81.75" customHeight="1">
      <c r="A16" s="13" t="s">
        <v>205</v>
      </c>
      <c r="B16" s="13" t="s">
        <v>217</v>
      </c>
      <c r="C16" s="13" t="s">
        <v>25</v>
      </c>
      <c r="D16" s="13"/>
      <c r="E16" s="13" t="s">
        <v>26</v>
      </c>
      <c r="F16" s="13" t="s">
        <v>218</v>
      </c>
      <c r="G16" s="13" t="s">
        <v>219</v>
      </c>
      <c r="H16" s="13" t="s">
        <v>202</v>
      </c>
      <c r="I16" s="13" t="s">
        <v>36</v>
      </c>
      <c r="J16" s="13">
        <v>4.0</v>
      </c>
      <c r="K16" s="13" t="s">
        <v>37</v>
      </c>
      <c r="L16" s="15" t="str">
        <f t="shared" si="1"/>
        <v>Fila completa</v>
      </c>
      <c r="M16" s="2"/>
      <c r="N16" s="2"/>
      <c r="O16" s="2"/>
      <c r="P16" s="2"/>
      <c r="Q16" s="2"/>
      <c r="R16" s="2"/>
      <c r="S16" s="2"/>
      <c r="T16" s="2"/>
      <c r="U16" s="2"/>
      <c r="V16" s="2"/>
      <c r="W16" s="2"/>
      <c r="X16" s="2"/>
      <c r="Y16" s="2"/>
      <c r="Z16" s="2"/>
    </row>
    <row r="17" ht="72.75" customHeight="1">
      <c r="A17" s="7" t="s">
        <v>120</v>
      </c>
      <c r="B17" s="7" t="s">
        <v>220</v>
      </c>
      <c r="C17" s="7" t="s">
        <v>221</v>
      </c>
      <c r="D17" s="7" t="s">
        <v>222</v>
      </c>
      <c r="E17" s="7" t="s">
        <v>26</v>
      </c>
      <c r="F17" s="7" t="s">
        <v>223</v>
      </c>
      <c r="G17" s="7" t="s">
        <v>224</v>
      </c>
      <c r="H17" s="7" t="s">
        <v>225</v>
      </c>
      <c r="I17" s="7" t="s">
        <v>226</v>
      </c>
      <c r="J17" s="7">
        <v>2.0</v>
      </c>
      <c r="K17" s="7" t="s">
        <v>37</v>
      </c>
      <c r="L17" s="15" t="str">
        <f t="shared" si="1"/>
        <v>Fila completa</v>
      </c>
      <c r="M17" s="2"/>
      <c r="N17" s="2"/>
      <c r="O17" s="2"/>
      <c r="P17" s="2"/>
      <c r="Q17" s="2"/>
      <c r="R17" s="2"/>
      <c r="S17" s="2"/>
      <c r="T17" s="2"/>
      <c r="U17" s="2"/>
      <c r="V17" s="2"/>
      <c r="W17" s="2"/>
      <c r="X17" s="2"/>
      <c r="Y17" s="2"/>
      <c r="Z17" s="2"/>
    </row>
    <row r="18" ht="61.5" customHeight="1">
      <c r="A18" s="13" t="s">
        <v>193</v>
      </c>
      <c r="B18" s="13" t="s">
        <v>227</v>
      </c>
      <c r="C18" s="13" t="s">
        <v>221</v>
      </c>
      <c r="D18" s="13" t="s">
        <v>228</v>
      </c>
      <c r="E18" s="13" t="s">
        <v>26</v>
      </c>
      <c r="F18" s="13" t="s">
        <v>229</v>
      </c>
      <c r="G18" s="13" t="s">
        <v>230</v>
      </c>
      <c r="H18" s="13" t="s">
        <v>191</v>
      </c>
      <c r="I18" s="13" t="s">
        <v>36</v>
      </c>
      <c r="J18" s="13">
        <v>1.0</v>
      </c>
      <c r="K18" s="13" t="s">
        <v>37</v>
      </c>
      <c r="L18" s="15" t="str">
        <f t="shared" si="1"/>
        <v>Fila completa</v>
      </c>
      <c r="M18" s="2"/>
      <c r="N18" s="2"/>
      <c r="O18" s="2"/>
      <c r="P18" s="2"/>
      <c r="Q18" s="2"/>
      <c r="R18" s="2"/>
      <c r="S18" s="2"/>
      <c r="T18" s="2"/>
      <c r="U18" s="2"/>
      <c r="V18" s="2"/>
      <c r="W18" s="2"/>
      <c r="X18" s="2"/>
      <c r="Y18" s="2"/>
      <c r="Z18" s="2"/>
    </row>
    <row r="19" ht="71.25" customHeight="1">
      <c r="A19" s="7" t="s">
        <v>231</v>
      </c>
      <c r="B19" s="7" t="s">
        <v>232</v>
      </c>
      <c r="C19" s="7" t="s">
        <v>221</v>
      </c>
      <c r="D19" s="7" t="s">
        <v>233</v>
      </c>
      <c r="E19" s="7" t="s">
        <v>26</v>
      </c>
      <c r="F19" s="7" t="s">
        <v>234</v>
      </c>
      <c r="G19" s="7" t="s">
        <v>235</v>
      </c>
      <c r="H19" s="7" t="s">
        <v>179</v>
      </c>
      <c r="I19" s="7" t="s">
        <v>36</v>
      </c>
      <c r="J19" s="7">
        <v>2.0</v>
      </c>
      <c r="K19" s="7" t="s">
        <v>37</v>
      </c>
      <c r="L19" s="15" t="str">
        <f t="shared" si="1"/>
        <v>Fila completa</v>
      </c>
      <c r="M19" s="2"/>
      <c r="N19" s="2"/>
      <c r="O19" s="2"/>
      <c r="P19" s="2"/>
      <c r="Q19" s="2"/>
      <c r="R19" s="2"/>
      <c r="S19" s="2"/>
      <c r="T19" s="2"/>
      <c r="U19" s="2"/>
      <c r="V19" s="2"/>
      <c r="W19" s="2"/>
      <c r="X19" s="2"/>
      <c r="Y19" s="2"/>
      <c r="Z19" s="2"/>
    </row>
    <row r="20" ht="70.5" customHeight="1">
      <c r="A20" s="13" t="s">
        <v>236</v>
      </c>
      <c r="B20" s="13" t="s">
        <v>237</v>
      </c>
      <c r="C20" s="13" t="s">
        <v>221</v>
      </c>
      <c r="D20" s="13" t="s">
        <v>238</v>
      </c>
      <c r="E20" s="13" t="s">
        <v>26</v>
      </c>
      <c r="F20" s="13" t="s">
        <v>239</v>
      </c>
      <c r="G20" s="13" t="s">
        <v>240</v>
      </c>
      <c r="H20" s="13" t="s">
        <v>127</v>
      </c>
      <c r="I20" s="13" t="s">
        <v>36</v>
      </c>
      <c r="J20" s="13">
        <v>2.0</v>
      </c>
      <c r="K20" s="13" t="s">
        <v>37</v>
      </c>
      <c r="L20" s="15" t="str">
        <f t="shared" si="1"/>
        <v>Fila completa</v>
      </c>
      <c r="M20" s="2"/>
      <c r="N20" s="2"/>
      <c r="O20" s="2"/>
      <c r="P20" s="2"/>
      <c r="Q20" s="2"/>
      <c r="R20" s="2"/>
      <c r="S20" s="2"/>
      <c r="T20" s="2"/>
      <c r="U20" s="2"/>
      <c r="V20" s="2"/>
      <c r="W20" s="2"/>
      <c r="X20" s="2"/>
      <c r="Y20" s="2"/>
      <c r="Z20" s="2"/>
    </row>
    <row r="21" ht="61.5" customHeight="1">
      <c r="A21" s="7" t="s">
        <v>241</v>
      </c>
      <c r="B21" s="7" t="s">
        <v>242</v>
      </c>
      <c r="C21" s="7" t="s">
        <v>221</v>
      </c>
      <c r="D21" s="7" t="s">
        <v>243</v>
      </c>
      <c r="E21" s="7" t="s">
        <v>151</v>
      </c>
      <c r="F21" s="7" t="s">
        <v>244</v>
      </c>
      <c r="G21" s="7" t="s">
        <v>245</v>
      </c>
      <c r="H21" s="7" t="s">
        <v>180</v>
      </c>
      <c r="I21" s="18" t="s">
        <v>36</v>
      </c>
      <c r="J21" s="7">
        <v>4.0</v>
      </c>
      <c r="K21" s="7" t="s">
        <v>91</v>
      </c>
      <c r="L21" s="15" t="str">
        <f t="shared" si="1"/>
        <v>Fila completa</v>
      </c>
      <c r="M21" s="2"/>
      <c r="N21" s="2"/>
      <c r="O21" s="2"/>
      <c r="P21" s="2"/>
      <c r="Q21" s="2"/>
      <c r="R21" s="2"/>
      <c r="S21" s="2"/>
      <c r="T21" s="2"/>
      <c r="U21" s="2"/>
      <c r="V21" s="2"/>
      <c r="W21" s="2"/>
      <c r="X21" s="2"/>
      <c r="Y21" s="2"/>
      <c r="Z21" s="2"/>
    </row>
    <row r="22" ht="33.75" customHeight="1">
      <c r="A22" s="22"/>
      <c r="B22" s="22"/>
      <c r="C22" s="22"/>
      <c r="D22" s="22"/>
      <c r="E22" s="22"/>
      <c r="F22" s="22"/>
      <c r="G22" s="22"/>
      <c r="H22" s="22"/>
      <c r="I22" s="22"/>
      <c r="J22" s="22"/>
      <c r="K22" s="22"/>
      <c r="L22" s="23" t="str">
        <f t="shared" si="1"/>
        <v/>
      </c>
      <c r="M22" s="2"/>
      <c r="N22" s="2"/>
      <c r="O22" s="2"/>
      <c r="P22" s="2"/>
      <c r="Q22" s="2"/>
      <c r="R22" s="2"/>
      <c r="S22" s="2"/>
      <c r="T22" s="2"/>
      <c r="U22" s="2"/>
      <c r="V22" s="2"/>
      <c r="W22" s="2"/>
      <c r="X22" s="2"/>
      <c r="Y22" s="2"/>
      <c r="Z22" s="2"/>
    </row>
    <row r="23" ht="33.75" customHeight="1">
      <c r="A23" s="24"/>
      <c r="B23" s="24"/>
      <c r="C23" s="24"/>
      <c r="D23" s="24"/>
      <c r="E23" s="24"/>
      <c r="F23" s="24"/>
      <c r="G23" s="24"/>
      <c r="H23" s="24"/>
      <c r="I23" s="24"/>
      <c r="J23" s="24"/>
      <c r="K23" s="24"/>
      <c r="L23" s="23" t="str">
        <f t="shared" si="1"/>
        <v/>
      </c>
      <c r="M23" s="2"/>
      <c r="N23" s="2"/>
      <c r="O23" s="2"/>
      <c r="P23" s="2"/>
      <c r="Q23" s="2"/>
      <c r="R23" s="2"/>
      <c r="S23" s="2"/>
      <c r="T23" s="2"/>
      <c r="U23" s="2"/>
      <c r="V23" s="2"/>
      <c r="W23" s="2"/>
      <c r="X23" s="2"/>
      <c r="Y23" s="2"/>
      <c r="Z23" s="2"/>
    </row>
    <row r="24" ht="33.75" customHeight="1">
      <c r="A24" s="22"/>
      <c r="B24" s="22"/>
      <c r="C24" s="22"/>
      <c r="D24" s="22"/>
      <c r="E24" s="22"/>
      <c r="F24" s="22"/>
      <c r="G24" s="22"/>
      <c r="H24" s="22"/>
      <c r="I24" s="22"/>
      <c r="J24" s="22"/>
      <c r="K24" s="22"/>
      <c r="L24" s="23" t="str">
        <f t="shared" si="1"/>
        <v/>
      </c>
      <c r="M24" s="2"/>
      <c r="N24" s="2"/>
      <c r="O24" s="2"/>
      <c r="P24" s="2"/>
      <c r="Q24" s="2"/>
      <c r="R24" s="2"/>
      <c r="S24" s="2"/>
      <c r="T24" s="2"/>
      <c r="U24" s="2"/>
      <c r="V24" s="2"/>
      <c r="W24" s="2"/>
      <c r="X24" s="2"/>
      <c r="Y24" s="2"/>
      <c r="Z24" s="2"/>
    </row>
    <row r="25" ht="33.75" customHeight="1">
      <c r="A25" s="24"/>
      <c r="B25" s="24"/>
      <c r="C25" s="24"/>
      <c r="D25" s="24"/>
      <c r="E25" s="24"/>
      <c r="F25" s="24"/>
      <c r="G25" s="24"/>
      <c r="H25" s="24"/>
      <c r="I25" s="24"/>
      <c r="J25" s="24"/>
      <c r="K25" s="24"/>
      <c r="L25" s="23" t="str">
        <f t="shared" si="1"/>
        <v/>
      </c>
      <c r="M25" s="2"/>
      <c r="N25" s="2"/>
      <c r="O25" s="2"/>
      <c r="P25" s="2"/>
      <c r="Q25" s="2"/>
      <c r="R25" s="2"/>
      <c r="S25" s="2"/>
      <c r="T25" s="2"/>
      <c r="U25" s="2"/>
      <c r="V25" s="2"/>
      <c r="W25" s="2"/>
      <c r="X25" s="2"/>
      <c r="Y25" s="2"/>
      <c r="Z25" s="2"/>
    </row>
    <row r="26" ht="33.75" customHeight="1">
      <c r="A26" s="22"/>
      <c r="B26" s="22"/>
      <c r="C26" s="22"/>
      <c r="D26" s="22"/>
      <c r="E26" s="22"/>
      <c r="F26" s="22"/>
      <c r="G26" s="22"/>
      <c r="H26" s="22"/>
      <c r="I26" s="22"/>
      <c r="J26" s="22"/>
      <c r="K26" s="22"/>
      <c r="L26" s="23" t="str">
        <f t="shared" si="1"/>
        <v/>
      </c>
      <c r="M26" s="2"/>
      <c r="N26" s="2"/>
      <c r="O26" s="2"/>
      <c r="P26" s="2"/>
      <c r="Q26" s="2"/>
      <c r="R26" s="2"/>
      <c r="S26" s="2"/>
      <c r="T26" s="2"/>
      <c r="U26" s="2"/>
      <c r="V26" s="2"/>
      <c r="W26" s="2"/>
      <c r="X26" s="2"/>
      <c r="Y26" s="2"/>
      <c r="Z26" s="2"/>
    </row>
    <row r="27" ht="33.75" customHeight="1">
      <c r="A27" s="24"/>
      <c r="B27" s="24"/>
      <c r="C27" s="24"/>
      <c r="D27" s="24"/>
      <c r="E27" s="24"/>
      <c r="F27" s="24"/>
      <c r="G27" s="24"/>
      <c r="H27" s="24"/>
      <c r="I27" s="24"/>
      <c r="J27" s="24"/>
      <c r="K27" s="24"/>
      <c r="L27" s="23" t="str">
        <f t="shared" si="1"/>
        <v/>
      </c>
      <c r="M27" s="2"/>
      <c r="N27" s="2"/>
      <c r="O27" s="2"/>
      <c r="P27" s="2"/>
      <c r="Q27" s="2"/>
      <c r="R27" s="2"/>
      <c r="S27" s="2"/>
      <c r="T27" s="2"/>
      <c r="U27" s="2"/>
      <c r="V27" s="2"/>
      <c r="W27" s="2"/>
      <c r="X27" s="2"/>
      <c r="Y27" s="2"/>
      <c r="Z27" s="2"/>
    </row>
    <row r="28" ht="33.75" customHeight="1">
      <c r="A28" s="22"/>
      <c r="B28" s="22"/>
      <c r="C28" s="22"/>
      <c r="D28" s="22"/>
      <c r="E28" s="22"/>
      <c r="F28" s="22"/>
      <c r="G28" s="22"/>
      <c r="H28" s="22"/>
      <c r="I28" s="22"/>
      <c r="J28" s="22"/>
      <c r="K28" s="22"/>
      <c r="L28" s="23" t="str">
        <f t="shared" si="1"/>
        <v/>
      </c>
      <c r="M28" s="2"/>
      <c r="N28" s="2"/>
      <c r="O28" s="2"/>
      <c r="P28" s="2"/>
      <c r="Q28" s="2"/>
      <c r="R28" s="2"/>
      <c r="S28" s="2"/>
      <c r="T28" s="2"/>
      <c r="U28" s="2"/>
      <c r="V28" s="2"/>
      <c r="W28" s="2"/>
      <c r="X28" s="2"/>
      <c r="Y28" s="2"/>
      <c r="Z28" s="2"/>
    </row>
    <row r="29" ht="33.75" customHeight="1">
      <c r="A29" s="24"/>
      <c r="B29" s="24"/>
      <c r="C29" s="24"/>
      <c r="D29" s="24"/>
      <c r="E29" s="24"/>
      <c r="F29" s="24"/>
      <c r="G29" s="24"/>
      <c r="H29" s="24"/>
      <c r="I29" s="24"/>
      <c r="J29" s="24"/>
      <c r="K29" s="24"/>
      <c r="L29" s="23" t="str">
        <f t="shared" si="1"/>
        <v/>
      </c>
      <c r="M29" s="2"/>
      <c r="N29" s="2"/>
      <c r="O29" s="2"/>
      <c r="P29" s="2"/>
      <c r="Q29" s="2"/>
      <c r="R29" s="2"/>
      <c r="S29" s="2"/>
      <c r="T29" s="2"/>
      <c r="U29" s="2"/>
      <c r="V29" s="2"/>
      <c r="W29" s="2"/>
      <c r="X29" s="2"/>
      <c r="Y29" s="2"/>
      <c r="Z29" s="2"/>
    </row>
    <row r="30" ht="33.75" customHeight="1">
      <c r="A30" s="22"/>
      <c r="B30" s="22"/>
      <c r="C30" s="22"/>
      <c r="D30" s="22"/>
      <c r="E30" s="22"/>
      <c r="F30" s="22"/>
      <c r="G30" s="22"/>
      <c r="H30" s="22"/>
      <c r="I30" s="22"/>
      <c r="J30" s="22"/>
      <c r="K30" s="22"/>
      <c r="L30" s="23" t="str">
        <f t="shared" si="1"/>
        <v/>
      </c>
      <c r="M30" s="2"/>
      <c r="N30" s="2"/>
      <c r="O30" s="2"/>
      <c r="P30" s="2"/>
      <c r="Q30" s="2"/>
      <c r="R30" s="2"/>
      <c r="S30" s="2"/>
      <c r="T30" s="2"/>
      <c r="U30" s="2"/>
      <c r="V30" s="2"/>
      <c r="W30" s="2"/>
      <c r="X30" s="2"/>
      <c r="Y30" s="2"/>
      <c r="Z30" s="2"/>
    </row>
    <row r="31" ht="33.75" customHeight="1">
      <c r="A31" s="24"/>
      <c r="B31" s="24"/>
      <c r="C31" s="24"/>
      <c r="D31" s="24"/>
      <c r="E31" s="24"/>
      <c r="F31" s="24"/>
      <c r="G31" s="24"/>
      <c r="H31" s="24"/>
      <c r="I31" s="24"/>
      <c r="J31" s="24"/>
      <c r="K31" s="24"/>
      <c r="L31" s="23" t="str">
        <f t="shared" si="1"/>
        <v/>
      </c>
      <c r="M31" s="2"/>
      <c r="N31" s="2"/>
      <c r="O31" s="2"/>
      <c r="P31" s="2"/>
      <c r="Q31" s="2"/>
      <c r="R31" s="2"/>
      <c r="S31" s="2"/>
      <c r="T31" s="2"/>
      <c r="U31" s="2"/>
      <c r="V31" s="2"/>
      <c r="W31" s="2"/>
      <c r="X31" s="2"/>
      <c r="Y31" s="2"/>
      <c r="Z31" s="2"/>
    </row>
    <row r="32" ht="33.75" customHeight="1">
      <c r="A32" s="22"/>
      <c r="B32" s="22"/>
      <c r="C32" s="22"/>
      <c r="D32" s="22"/>
      <c r="E32" s="22"/>
      <c r="F32" s="22"/>
      <c r="G32" s="22"/>
      <c r="H32" s="22"/>
      <c r="I32" s="22"/>
      <c r="J32" s="22"/>
      <c r="K32" s="22"/>
      <c r="L32" s="23" t="str">
        <f t="shared" si="1"/>
        <v/>
      </c>
      <c r="M32" s="2"/>
      <c r="N32" s="2"/>
      <c r="O32" s="2"/>
      <c r="P32" s="2"/>
      <c r="Q32" s="2"/>
      <c r="R32" s="2"/>
      <c r="S32" s="2"/>
      <c r="T32" s="2"/>
      <c r="U32" s="2"/>
      <c r="V32" s="2"/>
      <c r="W32" s="2"/>
      <c r="X32" s="2"/>
      <c r="Y32" s="2"/>
      <c r="Z32" s="2"/>
    </row>
    <row r="33" ht="33.75" customHeight="1">
      <c r="A33" s="24"/>
      <c r="B33" s="24"/>
      <c r="C33" s="24"/>
      <c r="D33" s="24"/>
      <c r="E33" s="24"/>
      <c r="F33" s="24"/>
      <c r="G33" s="24"/>
      <c r="H33" s="24"/>
      <c r="I33" s="24"/>
      <c r="J33" s="24"/>
      <c r="K33" s="24"/>
      <c r="L33" s="23" t="str">
        <f t="shared" si="1"/>
        <v/>
      </c>
      <c r="M33" s="2"/>
      <c r="N33" s="2"/>
      <c r="O33" s="2"/>
      <c r="P33" s="2"/>
      <c r="Q33" s="2"/>
      <c r="R33" s="2"/>
      <c r="S33" s="2"/>
      <c r="T33" s="2"/>
      <c r="U33" s="2"/>
      <c r="V33" s="2"/>
      <c r="W33" s="2"/>
      <c r="X33" s="2"/>
      <c r="Y33" s="2"/>
      <c r="Z33" s="2"/>
    </row>
    <row r="34" ht="33.75" customHeight="1">
      <c r="A34" s="22"/>
      <c r="B34" s="22"/>
      <c r="C34" s="22"/>
      <c r="D34" s="22"/>
      <c r="E34" s="22"/>
      <c r="F34" s="22"/>
      <c r="G34" s="22"/>
      <c r="H34" s="22"/>
      <c r="I34" s="22"/>
      <c r="J34" s="22"/>
      <c r="K34" s="22"/>
      <c r="L34" s="23" t="str">
        <f t="shared" si="1"/>
        <v/>
      </c>
      <c r="M34" s="2"/>
      <c r="N34" s="2"/>
      <c r="O34" s="2"/>
      <c r="P34" s="2"/>
      <c r="Q34" s="2"/>
      <c r="R34" s="2"/>
      <c r="S34" s="2"/>
      <c r="T34" s="2"/>
      <c r="U34" s="2"/>
      <c r="V34" s="2"/>
      <c r="W34" s="2"/>
      <c r="X34" s="2"/>
      <c r="Y34" s="2"/>
      <c r="Z34" s="2"/>
    </row>
    <row r="35" ht="33.75" customHeight="1">
      <c r="A35" s="24"/>
      <c r="B35" s="24"/>
      <c r="C35" s="24"/>
      <c r="D35" s="24"/>
      <c r="E35" s="24"/>
      <c r="F35" s="24"/>
      <c r="G35" s="24"/>
      <c r="H35" s="24"/>
      <c r="I35" s="24"/>
      <c r="J35" s="24"/>
      <c r="K35" s="24"/>
      <c r="L35" s="23" t="str">
        <f t="shared" si="1"/>
        <v/>
      </c>
      <c r="M35" s="2"/>
      <c r="N35" s="2"/>
      <c r="O35" s="2"/>
      <c r="P35" s="2"/>
      <c r="Q35" s="2"/>
      <c r="R35" s="2"/>
      <c r="S35" s="2"/>
      <c r="T35" s="2"/>
      <c r="U35" s="2"/>
      <c r="V35" s="2"/>
      <c r="W35" s="2"/>
      <c r="X35" s="2"/>
      <c r="Y35" s="2"/>
      <c r="Z35" s="2"/>
    </row>
    <row r="36" ht="33.75" customHeight="1">
      <c r="A36" s="22"/>
      <c r="B36" s="22"/>
      <c r="C36" s="22"/>
      <c r="D36" s="22"/>
      <c r="E36" s="22"/>
      <c r="F36" s="22"/>
      <c r="G36" s="22"/>
      <c r="H36" s="22"/>
      <c r="I36" s="22"/>
      <c r="J36" s="22"/>
      <c r="K36" s="22"/>
      <c r="L36" s="23" t="str">
        <f t="shared" si="1"/>
        <v/>
      </c>
      <c r="M36" s="2"/>
      <c r="N36" s="2"/>
      <c r="O36" s="2"/>
      <c r="P36" s="2"/>
      <c r="Q36" s="2"/>
      <c r="R36" s="2"/>
      <c r="S36" s="2"/>
      <c r="T36" s="2"/>
      <c r="U36" s="2"/>
      <c r="V36" s="2"/>
      <c r="W36" s="2"/>
      <c r="X36" s="2"/>
      <c r="Y36" s="2"/>
      <c r="Z36" s="2"/>
    </row>
    <row r="37" ht="33.75" customHeight="1">
      <c r="A37" s="24"/>
      <c r="B37" s="24"/>
      <c r="C37" s="24"/>
      <c r="D37" s="24"/>
      <c r="E37" s="24"/>
      <c r="F37" s="24"/>
      <c r="G37" s="24"/>
      <c r="H37" s="24"/>
      <c r="I37" s="24"/>
      <c r="J37" s="24"/>
      <c r="K37" s="24"/>
      <c r="L37" s="23" t="str">
        <f t="shared" si="1"/>
        <v/>
      </c>
      <c r="M37" s="2"/>
      <c r="N37" s="2"/>
      <c r="O37" s="2"/>
      <c r="P37" s="2"/>
      <c r="Q37" s="2"/>
      <c r="R37" s="2"/>
      <c r="S37" s="2"/>
      <c r="T37" s="2"/>
      <c r="U37" s="2"/>
      <c r="V37" s="2"/>
      <c r="W37" s="2"/>
      <c r="X37" s="2"/>
      <c r="Y37" s="2"/>
      <c r="Z37" s="2"/>
    </row>
    <row r="38" ht="33.75" customHeight="1">
      <c r="A38" s="22"/>
      <c r="B38" s="22"/>
      <c r="C38" s="22"/>
      <c r="D38" s="22"/>
      <c r="E38" s="22"/>
      <c r="F38" s="22"/>
      <c r="G38" s="22"/>
      <c r="H38" s="22"/>
      <c r="I38" s="22"/>
      <c r="J38" s="22"/>
      <c r="K38" s="22"/>
      <c r="L38" s="23" t="str">
        <f t="shared" si="1"/>
        <v/>
      </c>
      <c r="M38" s="2"/>
      <c r="N38" s="2"/>
      <c r="O38" s="2"/>
      <c r="P38" s="2"/>
      <c r="Q38" s="2"/>
      <c r="R38" s="2"/>
      <c r="S38" s="2"/>
      <c r="T38" s="2"/>
      <c r="U38" s="2"/>
      <c r="V38" s="2"/>
      <c r="W38" s="2"/>
      <c r="X38" s="2"/>
      <c r="Y38" s="2"/>
      <c r="Z38" s="2"/>
    </row>
    <row r="39" ht="33.75" customHeight="1">
      <c r="A39" s="24"/>
      <c r="B39" s="24"/>
      <c r="C39" s="24"/>
      <c r="D39" s="24"/>
      <c r="E39" s="24"/>
      <c r="F39" s="24"/>
      <c r="G39" s="24"/>
      <c r="H39" s="24"/>
      <c r="I39" s="24"/>
      <c r="J39" s="24"/>
      <c r="K39" s="24"/>
      <c r="L39" s="23" t="str">
        <f t="shared" si="1"/>
        <v/>
      </c>
      <c r="M39" s="2"/>
      <c r="N39" s="2"/>
      <c r="O39" s="2"/>
      <c r="P39" s="2"/>
      <c r="Q39" s="2"/>
      <c r="R39" s="2"/>
      <c r="S39" s="2"/>
      <c r="T39" s="2"/>
      <c r="U39" s="2"/>
      <c r="V39" s="2"/>
      <c r="W39" s="2"/>
      <c r="X39" s="2"/>
      <c r="Y39" s="2"/>
      <c r="Z39" s="2"/>
    </row>
    <row r="40" ht="33.75" customHeight="1">
      <c r="A40" s="22"/>
      <c r="B40" s="22"/>
      <c r="C40" s="22"/>
      <c r="D40" s="22"/>
      <c r="E40" s="22"/>
      <c r="F40" s="22"/>
      <c r="G40" s="22"/>
      <c r="H40" s="22"/>
      <c r="I40" s="22"/>
      <c r="J40" s="22"/>
      <c r="K40" s="22"/>
      <c r="L40" s="23" t="str">
        <f t="shared" si="1"/>
        <v/>
      </c>
      <c r="M40" s="2"/>
      <c r="N40" s="2"/>
      <c r="O40" s="2"/>
      <c r="P40" s="2"/>
      <c r="Q40" s="2"/>
      <c r="R40" s="2"/>
      <c r="S40" s="2"/>
      <c r="T40" s="2"/>
      <c r="U40" s="2"/>
      <c r="V40" s="2"/>
      <c r="W40" s="2"/>
      <c r="X40" s="2"/>
      <c r="Y40" s="2"/>
      <c r="Z40" s="2"/>
    </row>
    <row r="41" ht="33.75" customHeight="1">
      <c r="A41" s="24"/>
      <c r="B41" s="24"/>
      <c r="C41" s="24"/>
      <c r="D41" s="24"/>
      <c r="E41" s="24"/>
      <c r="F41" s="24"/>
      <c r="G41" s="24"/>
      <c r="H41" s="24"/>
      <c r="I41" s="24"/>
      <c r="J41" s="24"/>
      <c r="K41" s="24"/>
      <c r="L41" s="23" t="str">
        <f t="shared" si="1"/>
        <v/>
      </c>
      <c r="M41" s="2"/>
      <c r="N41" s="2"/>
      <c r="O41" s="2"/>
      <c r="P41" s="2"/>
      <c r="Q41" s="2"/>
      <c r="R41" s="2"/>
      <c r="S41" s="2"/>
      <c r="T41" s="2"/>
      <c r="U41" s="2"/>
      <c r="V41" s="2"/>
      <c r="W41" s="2"/>
      <c r="X41" s="2"/>
      <c r="Y41" s="2"/>
      <c r="Z41" s="2"/>
    </row>
    <row r="42" ht="33.75" customHeight="1">
      <c r="A42" s="22"/>
      <c r="B42" s="22"/>
      <c r="C42" s="22"/>
      <c r="D42" s="22"/>
      <c r="E42" s="22"/>
      <c r="F42" s="22"/>
      <c r="G42" s="22"/>
      <c r="H42" s="22"/>
      <c r="I42" s="22"/>
      <c r="J42" s="22"/>
      <c r="K42" s="22"/>
      <c r="L42" s="23" t="str">
        <f t="shared" si="1"/>
        <v/>
      </c>
      <c r="M42" s="2"/>
      <c r="N42" s="2"/>
      <c r="O42" s="2"/>
      <c r="P42" s="2"/>
      <c r="Q42" s="2"/>
      <c r="R42" s="2"/>
      <c r="S42" s="2"/>
      <c r="T42" s="2"/>
      <c r="U42" s="2"/>
      <c r="V42" s="2"/>
      <c r="W42" s="2"/>
      <c r="X42" s="2"/>
      <c r="Y42" s="2"/>
      <c r="Z42" s="2"/>
    </row>
    <row r="43" ht="33.75" customHeight="1">
      <c r="A43" s="24"/>
      <c r="B43" s="24"/>
      <c r="C43" s="24"/>
      <c r="D43" s="24"/>
      <c r="E43" s="24"/>
      <c r="F43" s="24"/>
      <c r="G43" s="24"/>
      <c r="H43" s="24"/>
      <c r="I43" s="24"/>
      <c r="J43" s="24"/>
      <c r="K43" s="24"/>
      <c r="L43" s="23" t="str">
        <f t="shared" si="1"/>
        <v/>
      </c>
      <c r="M43" s="2"/>
      <c r="N43" s="2"/>
      <c r="O43" s="2"/>
      <c r="P43" s="2"/>
      <c r="Q43" s="2"/>
      <c r="R43" s="2"/>
      <c r="S43" s="2"/>
      <c r="T43" s="2"/>
      <c r="U43" s="2"/>
      <c r="V43" s="2"/>
      <c r="W43" s="2"/>
      <c r="X43" s="2"/>
      <c r="Y43" s="2"/>
      <c r="Z43" s="2"/>
    </row>
    <row r="44" ht="33.75" customHeight="1">
      <c r="A44" s="22"/>
      <c r="B44" s="22"/>
      <c r="C44" s="22"/>
      <c r="D44" s="22"/>
      <c r="E44" s="22"/>
      <c r="F44" s="22"/>
      <c r="G44" s="22"/>
      <c r="H44" s="22"/>
      <c r="I44" s="22"/>
      <c r="J44" s="22"/>
      <c r="K44" s="22"/>
      <c r="L44" s="23" t="str">
        <f t="shared" si="1"/>
        <v/>
      </c>
      <c r="M44" s="2"/>
      <c r="N44" s="2"/>
      <c r="O44" s="2"/>
      <c r="P44" s="2"/>
      <c r="Q44" s="2"/>
      <c r="R44" s="2"/>
      <c r="S44" s="2"/>
      <c r="T44" s="2"/>
      <c r="U44" s="2"/>
      <c r="V44" s="2"/>
      <c r="W44" s="2"/>
      <c r="X44" s="2"/>
      <c r="Y44" s="2"/>
      <c r="Z44" s="2"/>
    </row>
    <row r="45" ht="33.75" customHeight="1">
      <c r="A45" s="24"/>
      <c r="B45" s="24"/>
      <c r="C45" s="24"/>
      <c r="D45" s="24"/>
      <c r="E45" s="24"/>
      <c r="F45" s="24"/>
      <c r="G45" s="24"/>
      <c r="H45" s="24"/>
      <c r="I45" s="24"/>
      <c r="J45" s="24"/>
      <c r="K45" s="24"/>
      <c r="L45" s="23" t="str">
        <f t="shared" si="1"/>
        <v/>
      </c>
      <c r="M45" s="2"/>
      <c r="N45" s="2"/>
      <c r="O45" s="2"/>
      <c r="P45" s="2"/>
      <c r="Q45" s="2"/>
      <c r="R45" s="2"/>
      <c r="S45" s="2"/>
      <c r="T45" s="2"/>
      <c r="U45" s="2"/>
      <c r="V45" s="2"/>
      <c r="W45" s="2"/>
      <c r="X45" s="2"/>
      <c r="Y45" s="2"/>
      <c r="Z45" s="2"/>
    </row>
    <row r="46" ht="33.75" customHeight="1">
      <c r="A46" s="22"/>
      <c r="B46" s="22"/>
      <c r="C46" s="22"/>
      <c r="D46" s="22"/>
      <c r="E46" s="22"/>
      <c r="F46" s="22"/>
      <c r="G46" s="22"/>
      <c r="H46" s="22"/>
      <c r="I46" s="22"/>
      <c r="J46" s="22"/>
      <c r="K46" s="22"/>
      <c r="L46" s="23" t="str">
        <f t="shared" si="1"/>
        <v/>
      </c>
      <c r="M46" s="2"/>
      <c r="N46" s="2"/>
      <c r="O46" s="2"/>
      <c r="P46" s="2"/>
      <c r="Q46" s="2"/>
      <c r="R46" s="2"/>
      <c r="S46" s="2"/>
      <c r="T46" s="2"/>
      <c r="U46" s="2"/>
      <c r="V46" s="2"/>
      <c r="W46" s="2"/>
      <c r="X46" s="2"/>
      <c r="Y46" s="2"/>
      <c r="Z46" s="2"/>
    </row>
    <row r="47" ht="33.75" customHeight="1">
      <c r="A47" s="24"/>
      <c r="B47" s="24"/>
      <c r="C47" s="24"/>
      <c r="D47" s="24"/>
      <c r="E47" s="24"/>
      <c r="F47" s="24"/>
      <c r="G47" s="24"/>
      <c r="H47" s="24"/>
      <c r="I47" s="24"/>
      <c r="J47" s="24"/>
      <c r="K47" s="24"/>
      <c r="L47" s="23" t="str">
        <f t="shared" si="1"/>
        <v/>
      </c>
      <c r="M47" s="2"/>
      <c r="N47" s="2"/>
      <c r="O47" s="2"/>
      <c r="P47" s="2"/>
      <c r="Q47" s="2"/>
      <c r="R47" s="2"/>
      <c r="S47" s="2"/>
      <c r="T47" s="2"/>
      <c r="U47" s="2"/>
      <c r="V47" s="2"/>
      <c r="W47" s="2"/>
      <c r="X47" s="2"/>
      <c r="Y47" s="2"/>
      <c r="Z47" s="2"/>
    </row>
    <row r="48" ht="33.75" customHeight="1">
      <c r="A48" s="22"/>
      <c r="B48" s="22"/>
      <c r="C48" s="22"/>
      <c r="D48" s="22"/>
      <c r="E48" s="22"/>
      <c r="F48" s="22"/>
      <c r="G48" s="22"/>
      <c r="H48" s="22"/>
      <c r="I48" s="22"/>
      <c r="J48" s="22"/>
      <c r="K48" s="22"/>
      <c r="L48" s="23" t="str">
        <f t="shared" si="1"/>
        <v/>
      </c>
      <c r="M48" s="2"/>
      <c r="N48" s="2"/>
      <c r="O48" s="2"/>
      <c r="P48" s="2"/>
      <c r="Q48" s="2"/>
      <c r="R48" s="2"/>
      <c r="S48" s="2"/>
      <c r="T48" s="2"/>
      <c r="U48" s="2"/>
      <c r="V48" s="2"/>
      <c r="W48" s="2"/>
      <c r="X48" s="2"/>
      <c r="Y48" s="2"/>
      <c r="Z48" s="2"/>
    </row>
    <row r="49" ht="33.75" customHeight="1">
      <c r="A49" s="24"/>
      <c r="B49" s="24"/>
      <c r="C49" s="24"/>
      <c r="D49" s="24"/>
      <c r="E49" s="24"/>
      <c r="F49" s="24"/>
      <c r="G49" s="24"/>
      <c r="H49" s="24"/>
      <c r="I49" s="24"/>
      <c r="J49" s="24"/>
      <c r="K49" s="24"/>
      <c r="L49" s="23" t="str">
        <f t="shared" si="1"/>
        <v/>
      </c>
      <c r="M49" s="2"/>
      <c r="N49" s="2"/>
      <c r="O49" s="2"/>
      <c r="P49" s="2"/>
      <c r="Q49" s="2"/>
      <c r="R49" s="2"/>
      <c r="S49" s="2"/>
      <c r="T49" s="2"/>
      <c r="U49" s="2"/>
      <c r="V49" s="2"/>
      <c r="W49" s="2"/>
      <c r="X49" s="2"/>
      <c r="Y49" s="2"/>
      <c r="Z49" s="2"/>
    </row>
    <row r="50" ht="33.75" customHeight="1">
      <c r="A50" s="22"/>
      <c r="B50" s="22"/>
      <c r="C50" s="22"/>
      <c r="D50" s="22"/>
      <c r="E50" s="22"/>
      <c r="F50" s="22"/>
      <c r="G50" s="22"/>
      <c r="H50" s="22"/>
      <c r="I50" s="22"/>
      <c r="J50" s="22"/>
      <c r="K50" s="22"/>
      <c r="L50" s="23" t="str">
        <f t="shared" si="1"/>
        <v/>
      </c>
      <c r="M50" s="2"/>
      <c r="N50" s="2"/>
      <c r="O50" s="2"/>
      <c r="P50" s="2"/>
      <c r="Q50" s="2"/>
      <c r="R50" s="2"/>
      <c r="S50" s="2"/>
      <c r="T50" s="2"/>
      <c r="U50" s="2"/>
      <c r="V50" s="2"/>
      <c r="W50" s="2"/>
      <c r="X50" s="2"/>
      <c r="Y50" s="2"/>
      <c r="Z50" s="2"/>
    </row>
    <row r="51" ht="33.75" customHeight="1">
      <c r="A51" s="24"/>
      <c r="B51" s="24"/>
      <c r="C51" s="24"/>
      <c r="D51" s="24"/>
      <c r="E51" s="24"/>
      <c r="F51" s="24"/>
      <c r="G51" s="24"/>
      <c r="H51" s="24"/>
      <c r="I51" s="24"/>
      <c r="J51" s="24"/>
      <c r="K51" s="24"/>
      <c r="L51" s="23" t="str">
        <f t="shared" si="1"/>
        <v/>
      </c>
      <c r="M51" s="2"/>
      <c r="N51" s="2"/>
      <c r="O51" s="2"/>
      <c r="P51" s="2"/>
      <c r="Q51" s="2"/>
      <c r="R51" s="2"/>
      <c r="S51" s="2"/>
      <c r="T51" s="2"/>
      <c r="U51" s="2"/>
      <c r="V51" s="2"/>
      <c r="W51" s="2"/>
      <c r="X51" s="2"/>
      <c r="Y51" s="2"/>
      <c r="Z51" s="2"/>
    </row>
    <row r="52" ht="33.75" customHeight="1">
      <c r="A52" s="22"/>
      <c r="B52" s="22"/>
      <c r="C52" s="22"/>
      <c r="D52" s="22"/>
      <c r="E52" s="22"/>
      <c r="F52" s="22"/>
      <c r="G52" s="22"/>
      <c r="H52" s="22"/>
      <c r="I52" s="22"/>
      <c r="J52" s="22"/>
      <c r="K52" s="22"/>
      <c r="L52" s="23" t="str">
        <f t="shared" si="1"/>
        <v/>
      </c>
      <c r="M52" s="2"/>
      <c r="N52" s="2"/>
      <c r="O52" s="2"/>
      <c r="P52" s="2"/>
      <c r="Q52" s="2"/>
      <c r="R52" s="2"/>
      <c r="S52" s="2"/>
      <c r="T52" s="2"/>
      <c r="U52" s="2"/>
      <c r="V52" s="2"/>
      <c r="W52" s="2"/>
      <c r="X52" s="2"/>
      <c r="Y52" s="2"/>
      <c r="Z52" s="2"/>
    </row>
    <row r="53" ht="33.75" customHeight="1">
      <c r="A53" s="24"/>
      <c r="B53" s="24"/>
      <c r="C53" s="24"/>
      <c r="D53" s="24"/>
      <c r="E53" s="24"/>
      <c r="F53" s="24"/>
      <c r="G53" s="24"/>
      <c r="H53" s="24"/>
      <c r="I53" s="24"/>
      <c r="J53" s="24"/>
      <c r="K53" s="24"/>
      <c r="L53" s="23" t="str">
        <f t="shared" si="1"/>
        <v/>
      </c>
      <c r="M53" s="2"/>
      <c r="N53" s="2"/>
      <c r="O53" s="2"/>
      <c r="P53" s="2"/>
      <c r="Q53" s="2"/>
      <c r="R53" s="2"/>
      <c r="S53" s="2"/>
      <c r="T53" s="2"/>
      <c r="U53" s="2"/>
      <c r="V53" s="2"/>
      <c r="W53" s="2"/>
      <c r="X53" s="2"/>
      <c r="Y53" s="2"/>
      <c r="Z53" s="2"/>
    </row>
    <row r="54" ht="33.75" customHeight="1">
      <c r="A54" s="22"/>
      <c r="B54" s="22"/>
      <c r="C54" s="22"/>
      <c r="D54" s="22"/>
      <c r="E54" s="22"/>
      <c r="F54" s="22"/>
      <c r="G54" s="22"/>
      <c r="H54" s="22"/>
      <c r="I54" s="22"/>
      <c r="J54" s="22"/>
      <c r="K54" s="22"/>
      <c r="L54" s="23" t="str">
        <f t="shared" si="1"/>
        <v/>
      </c>
      <c r="M54" s="2"/>
      <c r="N54" s="2"/>
      <c r="O54" s="2"/>
      <c r="P54" s="2"/>
      <c r="Q54" s="2"/>
      <c r="R54" s="2"/>
      <c r="S54" s="2"/>
      <c r="T54" s="2"/>
      <c r="U54" s="2"/>
      <c r="V54" s="2"/>
      <c r="W54" s="2"/>
      <c r="X54" s="2"/>
      <c r="Y54" s="2"/>
      <c r="Z54" s="2"/>
    </row>
    <row r="55" ht="33.75" customHeight="1">
      <c r="A55" s="24"/>
      <c r="B55" s="24"/>
      <c r="C55" s="24"/>
      <c r="D55" s="24"/>
      <c r="E55" s="24"/>
      <c r="F55" s="24"/>
      <c r="G55" s="24"/>
      <c r="H55" s="24"/>
      <c r="I55" s="24"/>
      <c r="J55" s="24"/>
      <c r="K55" s="24"/>
      <c r="L55" s="23" t="str">
        <f t="shared" si="1"/>
        <v/>
      </c>
      <c r="M55" s="2"/>
      <c r="N55" s="2"/>
      <c r="O55" s="2"/>
      <c r="P55" s="2"/>
      <c r="Q55" s="2"/>
      <c r="R55" s="2"/>
      <c r="S55" s="2"/>
      <c r="T55" s="2"/>
      <c r="U55" s="2"/>
      <c r="V55" s="2"/>
      <c r="W55" s="2"/>
      <c r="X55" s="2"/>
      <c r="Y55" s="2"/>
      <c r="Z55" s="2"/>
    </row>
    <row r="56" ht="33.75" customHeight="1">
      <c r="A56" s="22"/>
      <c r="B56" s="22"/>
      <c r="C56" s="22"/>
      <c r="D56" s="22"/>
      <c r="E56" s="22"/>
      <c r="F56" s="22"/>
      <c r="G56" s="22"/>
      <c r="H56" s="22"/>
      <c r="I56" s="22"/>
      <c r="J56" s="22"/>
      <c r="K56" s="22"/>
      <c r="L56" s="23" t="str">
        <f t="shared" si="1"/>
        <v/>
      </c>
      <c r="M56" s="2"/>
      <c r="N56" s="2"/>
      <c r="O56" s="2"/>
      <c r="P56" s="2"/>
      <c r="Q56" s="2"/>
      <c r="R56" s="2"/>
      <c r="S56" s="2"/>
      <c r="T56" s="2"/>
      <c r="U56" s="2"/>
      <c r="V56" s="2"/>
      <c r="W56" s="2"/>
      <c r="X56" s="2"/>
      <c r="Y56" s="2"/>
      <c r="Z56" s="2"/>
    </row>
    <row r="57" ht="33.75" customHeight="1">
      <c r="A57" s="24"/>
      <c r="B57" s="24"/>
      <c r="C57" s="24"/>
      <c r="D57" s="24"/>
      <c r="E57" s="24"/>
      <c r="F57" s="24"/>
      <c r="G57" s="24"/>
      <c r="H57" s="24"/>
      <c r="I57" s="24"/>
      <c r="J57" s="24"/>
      <c r="K57" s="24"/>
      <c r="L57" s="23" t="str">
        <f t="shared" si="1"/>
        <v/>
      </c>
      <c r="M57" s="2"/>
      <c r="N57" s="2"/>
      <c r="O57" s="2"/>
      <c r="P57" s="2"/>
      <c r="Q57" s="2"/>
      <c r="R57" s="2"/>
      <c r="S57" s="2"/>
      <c r="T57" s="2"/>
      <c r="U57" s="2"/>
      <c r="V57" s="2"/>
      <c r="W57" s="2"/>
      <c r="X57" s="2"/>
      <c r="Y57" s="2"/>
      <c r="Z57" s="2"/>
    </row>
    <row r="58" ht="33.75" customHeight="1">
      <c r="A58" s="22"/>
      <c r="B58" s="22"/>
      <c r="C58" s="22"/>
      <c r="D58" s="22"/>
      <c r="E58" s="22"/>
      <c r="F58" s="22"/>
      <c r="G58" s="22"/>
      <c r="H58" s="22"/>
      <c r="I58" s="22"/>
      <c r="J58" s="22"/>
      <c r="K58" s="22"/>
      <c r="L58" s="23" t="str">
        <f t="shared" si="1"/>
        <v/>
      </c>
      <c r="M58" s="2"/>
      <c r="N58" s="2"/>
      <c r="O58" s="2"/>
      <c r="P58" s="2"/>
      <c r="Q58" s="2"/>
      <c r="R58" s="2"/>
      <c r="S58" s="2"/>
      <c r="T58" s="2"/>
      <c r="U58" s="2"/>
      <c r="V58" s="2"/>
      <c r="W58" s="2"/>
      <c r="X58" s="2"/>
      <c r="Y58" s="2"/>
      <c r="Z58" s="2"/>
    </row>
    <row r="59" ht="33.75" customHeight="1">
      <c r="A59" s="24"/>
      <c r="B59" s="24"/>
      <c r="C59" s="24"/>
      <c r="D59" s="24"/>
      <c r="E59" s="24"/>
      <c r="F59" s="24"/>
      <c r="G59" s="24"/>
      <c r="H59" s="24"/>
      <c r="I59" s="24"/>
      <c r="J59" s="24"/>
      <c r="K59" s="24"/>
      <c r="L59" s="23" t="str">
        <f t="shared" si="1"/>
        <v/>
      </c>
      <c r="M59" s="2"/>
      <c r="N59" s="2"/>
      <c r="O59" s="2"/>
      <c r="P59" s="2"/>
      <c r="Q59" s="2"/>
      <c r="R59" s="2"/>
      <c r="S59" s="2"/>
      <c r="T59" s="2"/>
      <c r="U59" s="2"/>
      <c r="V59" s="2"/>
      <c r="W59" s="2"/>
      <c r="X59" s="2"/>
      <c r="Y59" s="2"/>
      <c r="Z59" s="2"/>
    </row>
    <row r="60" ht="33.75" customHeight="1">
      <c r="A60" s="22"/>
      <c r="B60" s="22"/>
      <c r="C60" s="22"/>
      <c r="D60" s="22"/>
      <c r="E60" s="22"/>
      <c r="F60" s="22"/>
      <c r="G60" s="22"/>
      <c r="H60" s="22"/>
      <c r="I60" s="22"/>
      <c r="J60" s="22"/>
      <c r="K60" s="22"/>
      <c r="L60" s="23" t="str">
        <f t="shared" si="1"/>
        <v/>
      </c>
      <c r="M60" s="2"/>
      <c r="N60" s="2"/>
      <c r="O60" s="2"/>
      <c r="P60" s="2"/>
      <c r="Q60" s="2"/>
      <c r="R60" s="2"/>
      <c r="S60" s="2"/>
      <c r="T60" s="2"/>
      <c r="U60" s="2"/>
      <c r="V60" s="2"/>
      <c r="W60" s="2"/>
      <c r="X60" s="2"/>
      <c r="Y60" s="2"/>
      <c r="Z60" s="2"/>
    </row>
    <row r="61" ht="33.75" customHeight="1">
      <c r="A61" s="24"/>
      <c r="B61" s="24"/>
      <c r="C61" s="24"/>
      <c r="D61" s="24"/>
      <c r="E61" s="24"/>
      <c r="F61" s="24"/>
      <c r="G61" s="24"/>
      <c r="H61" s="24"/>
      <c r="I61" s="24"/>
      <c r="J61" s="24"/>
      <c r="K61" s="24"/>
      <c r="L61" s="23" t="str">
        <f t="shared" si="1"/>
        <v/>
      </c>
      <c r="M61" s="2"/>
      <c r="N61" s="2"/>
      <c r="O61" s="2"/>
      <c r="P61" s="2"/>
      <c r="Q61" s="2"/>
      <c r="R61" s="2"/>
      <c r="S61" s="2"/>
      <c r="T61" s="2"/>
      <c r="U61" s="2"/>
      <c r="V61" s="2"/>
      <c r="W61" s="2"/>
      <c r="X61" s="2"/>
      <c r="Y61" s="2"/>
      <c r="Z61" s="2"/>
    </row>
    <row r="62" ht="33.75" customHeight="1">
      <c r="A62" s="22"/>
      <c r="B62" s="22"/>
      <c r="C62" s="22"/>
      <c r="D62" s="22"/>
      <c r="E62" s="22"/>
      <c r="F62" s="22"/>
      <c r="G62" s="22"/>
      <c r="H62" s="22"/>
      <c r="I62" s="22"/>
      <c r="J62" s="22"/>
      <c r="K62" s="22"/>
      <c r="L62" s="23" t="str">
        <f t="shared" si="1"/>
        <v/>
      </c>
      <c r="M62" s="2"/>
      <c r="N62" s="2"/>
      <c r="O62" s="2"/>
      <c r="P62" s="2"/>
      <c r="Q62" s="2"/>
      <c r="R62" s="2"/>
      <c r="S62" s="2"/>
      <c r="T62" s="2"/>
      <c r="U62" s="2"/>
      <c r="V62" s="2"/>
      <c r="W62" s="2"/>
      <c r="X62" s="2"/>
      <c r="Y62" s="2"/>
      <c r="Z62" s="2"/>
    </row>
    <row r="63" ht="33.75" customHeight="1">
      <c r="A63" s="24"/>
      <c r="B63" s="24"/>
      <c r="C63" s="24"/>
      <c r="D63" s="24"/>
      <c r="E63" s="24"/>
      <c r="F63" s="24"/>
      <c r="G63" s="24"/>
      <c r="H63" s="24"/>
      <c r="I63" s="24"/>
      <c r="J63" s="24"/>
      <c r="K63" s="24"/>
      <c r="L63" s="23" t="str">
        <f t="shared" si="1"/>
        <v/>
      </c>
      <c r="M63" s="2"/>
      <c r="N63" s="2"/>
      <c r="O63" s="2"/>
      <c r="P63" s="2"/>
      <c r="Q63" s="2"/>
      <c r="R63" s="2"/>
      <c r="S63" s="2"/>
      <c r="T63" s="2"/>
      <c r="U63" s="2"/>
      <c r="V63" s="2"/>
      <c r="W63" s="2"/>
      <c r="X63" s="2"/>
      <c r="Y63" s="2"/>
      <c r="Z63" s="2"/>
    </row>
    <row r="64" ht="33.75" customHeight="1">
      <c r="A64" s="22"/>
      <c r="B64" s="22"/>
      <c r="C64" s="22"/>
      <c r="D64" s="22"/>
      <c r="E64" s="22"/>
      <c r="F64" s="22"/>
      <c r="G64" s="22"/>
      <c r="H64" s="22"/>
      <c r="I64" s="22"/>
      <c r="J64" s="22"/>
      <c r="K64" s="22"/>
      <c r="L64" s="23" t="str">
        <f t="shared" si="1"/>
        <v/>
      </c>
      <c r="M64" s="2"/>
      <c r="N64" s="2"/>
      <c r="O64" s="2"/>
      <c r="P64" s="2"/>
      <c r="Q64" s="2"/>
      <c r="R64" s="2"/>
      <c r="S64" s="2"/>
      <c r="T64" s="2"/>
      <c r="U64" s="2"/>
      <c r="V64" s="2"/>
      <c r="W64" s="2"/>
      <c r="X64" s="2"/>
      <c r="Y64" s="2"/>
      <c r="Z64" s="2"/>
    </row>
    <row r="65" ht="33.75" customHeight="1">
      <c r="A65" s="24"/>
      <c r="B65" s="24"/>
      <c r="C65" s="24"/>
      <c r="D65" s="24"/>
      <c r="E65" s="24"/>
      <c r="F65" s="24"/>
      <c r="G65" s="24"/>
      <c r="H65" s="24"/>
      <c r="I65" s="24"/>
      <c r="J65" s="24"/>
      <c r="K65" s="24"/>
      <c r="L65" s="23" t="str">
        <f t="shared" si="1"/>
        <v/>
      </c>
      <c r="M65" s="2"/>
      <c r="N65" s="2"/>
      <c r="O65" s="2"/>
      <c r="P65" s="2"/>
      <c r="Q65" s="2"/>
      <c r="R65" s="2"/>
      <c r="S65" s="2"/>
      <c r="T65" s="2"/>
      <c r="U65" s="2"/>
      <c r="V65" s="2"/>
      <c r="W65" s="2"/>
      <c r="X65" s="2"/>
      <c r="Y65" s="2"/>
      <c r="Z65" s="2"/>
    </row>
    <row r="66" ht="33.75" customHeight="1">
      <c r="A66" s="22"/>
      <c r="B66" s="22"/>
      <c r="C66" s="22"/>
      <c r="D66" s="22"/>
      <c r="E66" s="22"/>
      <c r="F66" s="22"/>
      <c r="G66" s="22"/>
      <c r="H66" s="22"/>
      <c r="I66" s="22"/>
      <c r="J66" s="22"/>
      <c r="K66" s="22"/>
      <c r="L66" s="23" t="str">
        <f t="shared" si="1"/>
        <v/>
      </c>
      <c r="M66" s="2"/>
      <c r="N66" s="2"/>
      <c r="O66" s="2"/>
      <c r="P66" s="2"/>
      <c r="Q66" s="2"/>
      <c r="R66" s="2"/>
      <c r="S66" s="2"/>
      <c r="T66" s="2"/>
      <c r="U66" s="2"/>
      <c r="V66" s="2"/>
      <c r="W66" s="2"/>
      <c r="X66" s="2"/>
      <c r="Y66" s="2"/>
      <c r="Z66" s="2"/>
    </row>
    <row r="67" ht="33.75" customHeight="1">
      <c r="A67" s="24"/>
      <c r="B67" s="24"/>
      <c r="C67" s="24"/>
      <c r="D67" s="24"/>
      <c r="E67" s="24"/>
      <c r="F67" s="24"/>
      <c r="G67" s="24"/>
      <c r="H67" s="24"/>
      <c r="I67" s="24"/>
      <c r="J67" s="24"/>
      <c r="K67" s="24"/>
      <c r="L67" s="23" t="str">
        <f t="shared" si="1"/>
        <v/>
      </c>
      <c r="M67" s="2"/>
      <c r="N67" s="2"/>
      <c r="O67" s="2"/>
      <c r="P67" s="2"/>
      <c r="Q67" s="2"/>
      <c r="R67" s="2"/>
      <c r="S67" s="2"/>
      <c r="T67" s="2"/>
      <c r="U67" s="2"/>
      <c r="V67" s="2"/>
      <c r="W67" s="2"/>
      <c r="X67" s="2"/>
      <c r="Y67" s="2"/>
      <c r="Z67" s="2"/>
    </row>
    <row r="68" ht="33.75" customHeight="1">
      <c r="A68" s="22"/>
      <c r="B68" s="22"/>
      <c r="C68" s="22"/>
      <c r="D68" s="22"/>
      <c r="E68" s="22"/>
      <c r="F68" s="22"/>
      <c r="G68" s="22"/>
      <c r="H68" s="22"/>
      <c r="I68" s="22"/>
      <c r="J68" s="22"/>
      <c r="K68" s="22"/>
      <c r="L68" s="23" t="str">
        <f t="shared" si="1"/>
        <v/>
      </c>
      <c r="M68" s="2"/>
      <c r="N68" s="2"/>
      <c r="O68" s="2"/>
      <c r="P68" s="2"/>
      <c r="Q68" s="2"/>
      <c r="R68" s="2"/>
      <c r="S68" s="2"/>
      <c r="T68" s="2"/>
      <c r="U68" s="2"/>
      <c r="V68" s="2"/>
      <c r="W68" s="2"/>
      <c r="X68" s="2"/>
      <c r="Y68" s="2"/>
      <c r="Z68" s="2"/>
    </row>
    <row r="69" ht="33.75" customHeight="1">
      <c r="A69" s="24"/>
      <c r="B69" s="24"/>
      <c r="C69" s="24"/>
      <c r="D69" s="24"/>
      <c r="E69" s="24"/>
      <c r="F69" s="24"/>
      <c r="G69" s="24"/>
      <c r="H69" s="24"/>
      <c r="I69" s="24"/>
      <c r="J69" s="24"/>
      <c r="K69" s="24"/>
      <c r="L69" s="23" t="str">
        <f t="shared" si="1"/>
        <v/>
      </c>
      <c r="M69" s="2"/>
      <c r="N69" s="2"/>
      <c r="O69" s="2"/>
      <c r="P69" s="2"/>
      <c r="Q69" s="2"/>
      <c r="R69" s="2"/>
      <c r="S69" s="2"/>
      <c r="T69" s="2"/>
      <c r="U69" s="2"/>
      <c r="V69" s="2"/>
      <c r="W69" s="2"/>
      <c r="X69" s="2"/>
      <c r="Y69" s="2"/>
      <c r="Z69" s="2"/>
    </row>
    <row r="70" ht="33.75" customHeight="1">
      <c r="A70" s="22"/>
      <c r="B70" s="22"/>
      <c r="C70" s="22"/>
      <c r="D70" s="22"/>
      <c r="E70" s="22"/>
      <c r="F70" s="22"/>
      <c r="G70" s="22"/>
      <c r="H70" s="22"/>
      <c r="I70" s="22"/>
      <c r="J70" s="22"/>
      <c r="K70" s="22"/>
      <c r="L70" s="23" t="str">
        <f t="shared" si="1"/>
        <v/>
      </c>
      <c r="M70" s="2"/>
      <c r="N70" s="2"/>
      <c r="O70" s="2"/>
      <c r="P70" s="2"/>
      <c r="Q70" s="2"/>
      <c r="R70" s="2"/>
      <c r="S70" s="2"/>
      <c r="T70" s="2"/>
      <c r="U70" s="2"/>
      <c r="V70" s="2"/>
      <c r="W70" s="2"/>
      <c r="X70" s="2"/>
      <c r="Y70" s="2"/>
      <c r="Z70" s="2"/>
    </row>
    <row r="71" ht="33.75" customHeight="1">
      <c r="A71" s="24"/>
      <c r="B71" s="24"/>
      <c r="C71" s="24"/>
      <c r="D71" s="24"/>
      <c r="E71" s="24"/>
      <c r="F71" s="24"/>
      <c r="G71" s="24"/>
      <c r="H71" s="24"/>
      <c r="I71" s="24"/>
      <c r="J71" s="24"/>
      <c r="K71" s="24"/>
      <c r="L71" s="23" t="str">
        <f t="shared" si="1"/>
        <v/>
      </c>
      <c r="M71" s="2"/>
      <c r="N71" s="2"/>
      <c r="O71" s="2"/>
      <c r="P71" s="2"/>
      <c r="Q71" s="2"/>
      <c r="R71" s="2"/>
      <c r="S71" s="2"/>
      <c r="T71" s="2"/>
      <c r="U71" s="2"/>
      <c r="V71" s="2"/>
      <c r="W71" s="2"/>
      <c r="X71" s="2"/>
      <c r="Y71" s="2"/>
      <c r="Z71" s="2"/>
    </row>
    <row r="72" ht="33.75" customHeight="1">
      <c r="A72" s="22"/>
      <c r="B72" s="22"/>
      <c r="C72" s="22"/>
      <c r="D72" s="22"/>
      <c r="E72" s="22"/>
      <c r="F72" s="22"/>
      <c r="G72" s="22"/>
      <c r="H72" s="22"/>
      <c r="I72" s="22"/>
      <c r="J72" s="22"/>
      <c r="K72" s="22"/>
      <c r="L72" s="23" t="str">
        <f t="shared" si="1"/>
        <v/>
      </c>
      <c r="M72" s="2"/>
      <c r="N72" s="2"/>
      <c r="O72" s="2"/>
      <c r="P72" s="2"/>
      <c r="Q72" s="2"/>
      <c r="R72" s="2"/>
      <c r="S72" s="2"/>
      <c r="T72" s="2"/>
      <c r="U72" s="2"/>
      <c r="V72" s="2"/>
      <c r="W72" s="2"/>
      <c r="X72" s="2"/>
      <c r="Y72" s="2"/>
      <c r="Z72" s="2"/>
    </row>
    <row r="73" ht="33.75" customHeight="1">
      <c r="A73" s="24"/>
      <c r="B73" s="24"/>
      <c r="C73" s="24"/>
      <c r="D73" s="24"/>
      <c r="E73" s="24"/>
      <c r="F73" s="24"/>
      <c r="G73" s="24"/>
      <c r="H73" s="24"/>
      <c r="I73" s="24"/>
      <c r="J73" s="24"/>
      <c r="K73" s="24"/>
      <c r="L73" s="23" t="str">
        <f t="shared" si="1"/>
        <v/>
      </c>
      <c r="M73" s="2"/>
      <c r="N73" s="2"/>
      <c r="O73" s="2"/>
      <c r="P73" s="2"/>
      <c r="Q73" s="2"/>
      <c r="R73" s="2"/>
      <c r="S73" s="2"/>
      <c r="T73" s="2"/>
      <c r="U73" s="2"/>
      <c r="V73" s="2"/>
      <c r="W73" s="2"/>
      <c r="X73" s="2"/>
      <c r="Y73" s="2"/>
      <c r="Z73" s="2"/>
    </row>
    <row r="74" ht="33.75" customHeight="1">
      <c r="A74" s="22"/>
      <c r="B74" s="22"/>
      <c r="C74" s="22"/>
      <c r="D74" s="22"/>
      <c r="E74" s="22"/>
      <c r="F74" s="22"/>
      <c r="G74" s="22"/>
      <c r="H74" s="22"/>
      <c r="I74" s="22"/>
      <c r="J74" s="22"/>
      <c r="K74" s="22"/>
      <c r="L74" s="23" t="str">
        <f t="shared" si="1"/>
        <v/>
      </c>
      <c r="M74" s="2"/>
      <c r="N74" s="2"/>
      <c r="O74" s="2"/>
      <c r="P74" s="2"/>
      <c r="Q74" s="2"/>
      <c r="R74" s="2"/>
      <c r="S74" s="2"/>
      <c r="T74" s="2"/>
      <c r="U74" s="2"/>
      <c r="V74" s="2"/>
      <c r="W74" s="2"/>
      <c r="X74" s="2"/>
      <c r="Y74" s="2"/>
      <c r="Z74" s="2"/>
    </row>
    <row r="75" ht="33.75" customHeight="1">
      <c r="A75" s="24"/>
      <c r="B75" s="24"/>
      <c r="C75" s="24"/>
      <c r="D75" s="24"/>
      <c r="E75" s="24"/>
      <c r="F75" s="24"/>
      <c r="G75" s="24"/>
      <c r="H75" s="24"/>
      <c r="I75" s="24"/>
      <c r="J75" s="24"/>
      <c r="K75" s="24"/>
      <c r="L75" s="23" t="str">
        <f t="shared" si="1"/>
        <v/>
      </c>
      <c r="M75" s="2"/>
      <c r="N75" s="2"/>
      <c r="O75" s="2"/>
      <c r="P75" s="2"/>
      <c r="Q75" s="2"/>
      <c r="R75" s="2"/>
      <c r="S75" s="2"/>
      <c r="T75" s="2"/>
      <c r="U75" s="2"/>
      <c r="V75" s="2"/>
      <c r="W75" s="2"/>
      <c r="X75" s="2"/>
      <c r="Y75" s="2"/>
      <c r="Z75" s="2"/>
    </row>
    <row r="76" ht="33.75" customHeight="1">
      <c r="A76" s="22"/>
      <c r="B76" s="22"/>
      <c r="C76" s="22"/>
      <c r="D76" s="22"/>
      <c r="E76" s="22"/>
      <c r="F76" s="22"/>
      <c r="G76" s="22"/>
      <c r="H76" s="22"/>
      <c r="I76" s="22"/>
      <c r="J76" s="22"/>
      <c r="K76" s="22"/>
      <c r="L76" s="23" t="str">
        <f t="shared" si="1"/>
        <v/>
      </c>
      <c r="M76" s="2"/>
      <c r="N76" s="2"/>
      <c r="O76" s="2"/>
      <c r="P76" s="2"/>
      <c r="Q76" s="2"/>
      <c r="R76" s="2"/>
      <c r="S76" s="2"/>
      <c r="T76" s="2"/>
      <c r="U76" s="2"/>
      <c r="V76" s="2"/>
      <c r="W76" s="2"/>
      <c r="X76" s="2"/>
      <c r="Y76" s="2"/>
      <c r="Z76" s="2"/>
    </row>
    <row r="77" ht="33.75" customHeight="1">
      <c r="A77" s="24"/>
      <c r="B77" s="24"/>
      <c r="C77" s="24"/>
      <c r="D77" s="24"/>
      <c r="E77" s="24"/>
      <c r="F77" s="24"/>
      <c r="G77" s="24"/>
      <c r="H77" s="24"/>
      <c r="I77" s="24"/>
      <c r="J77" s="24"/>
      <c r="K77" s="24"/>
      <c r="L77" s="23" t="str">
        <f t="shared" si="1"/>
        <v/>
      </c>
      <c r="M77" s="2"/>
      <c r="N77" s="2"/>
      <c r="O77" s="2"/>
      <c r="P77" s="2"/>
      <c r="Q77" s="2"/>
      <c r="R77" s="2"/>
      <c r="S77" s="2"/>
      <c r="T77" s="2"/>
      <c r="U77" s="2"/>
      <c r="V77" s="2"/>
      <c r="W77" s="2"/>
      <c r="X77" s="2"/>
      <c r="Y77" s="2"/>
      <c r="Z77" s="2"/>
    </row>
    <row r="78" ht="33.75" customHeight="1">
      <c r="A78" s="22"/>
      <c r="B78" s="22"/>
      <c r="C78" s="22"/>
      <c r="D78" s="22"/>
      <c r="E78" s="22"/>
      <c r="F78" s="22"/>
      <c r="G78" s="22"/>
      <c r="H78" s="22"/>
      <c r="I78" s="22"/>
      <c r="J78" s="22"/>
      <c r="K78" s="22"/>
      <c r="L78" s="23" t="str">
        <f t="shared" si="1"/>
        <v/>
      </c>
      <c r="M78" s="2"/>
      <c r="N78" s="2"/>
      <c r="O78" s="2"/>
      <c r="P78" s="2"/>
      <c r="Q78" s="2"/>
      <c r="R78" s="2"/>
      <c r="S78" s="2"/>
      <c r="T78" s="2"/>
      <c r="U78" s="2"/>
      <c r="V78" s="2"/>
      <c r="W78" s="2"/>
      <c r="X78" s="2"/>
      <c r="Y78" s="2"/>
      <c r="Z78" s="2"/>
    </row>
    <row r="79" ht="33.75" customHeight="1">
      <c r="A79" s="24"/>
      <c r="B79" s="24"/>
      <c r="C79" s="24"/>
      <c r="D79" s="24"/>
      <c r="E79" s="24"/>
      <c r="F79" s="24"/>
      <c r="G79" s="24"/>
      <c r="H79" s="24"/>
      <c r="I79" s="24"/>
      <c r="J79" s="24"/>
      <c r="K79" s="24"/>
      <c r="L79" s="23" t="str">
        <f t="shared" si="1"/>
        <v/>
      </c>
      <c r="M79" s="2"/>
      <c r="N79" s="2"/>
      <c r="O79" s="2"/>
      <c r="P79" s="2"/>
      <c r="Q79" s="2"/>
      <c r="R79" s="2"/>
      <c r="S79" s="2"/>
      <c r="T79" s="2"/>
      <c r="U79" s="2"/>
      <c r="V79" s="2"/>
      <c r="W79" s="2"/>
      <c r="X79" s="2"/>
      <c r="Y79" s="2"/>
      <c r="Z79" s="2"/>
    </row>
    <row r="80" ht="33.75" customHeight="1">
      <c r="A80" s="22"/>
      <c r="B80" s="22"/>
      <c r="C80" s="22"/>
      <c r="D80" s="22"/>
      <c r="E80" s="22"/>
      <c r="F80" s="22"/>
      <c r="G80" s="22"/>
      <c r="H80" s="22"/>
      <c r="I80" s="22"/>
      <c r="J80" s="22"/>
      <c r="K80" s="22"/>
      <c r="L80" s="23" t="str">
        <f t="shared" si="1"/>
        <v/>
      </c>
      <c r="M80" s="2"/>
      <c r="N80" s="2"/>
      <c r="O80" s="2"/>
      <c r="P80" s="2"/>
      <c r="Q80" s="2"/>
      <c r="R80" s="2"/>
      <c r="S80" s="2"/>
      <c r="T80" s="2"/>
      <c r="U80" s="2"/>
      <c r="V80" s="2"/>
      <c r="W80" s="2"/>
      <c r="X80" s="2"/>
      <c r="Y80" s="2"/>
      <c r="Z80" s="2"/>
    </row>
    <row r="81" ht="33.75" customHeight="1">
      <c r="A81" s="24"/>
      <c r="B81" s="24"/>
      <c r="C81" s="24"/>
      <c r="D81" s="24"/>
      <c r="E81" s="24"/>
      <c r="F81" s="24"/>
      <c r="G81" s="24"/>
      <c r="H81" s="24"/>
      <c r="I81" s="24"/>
      <c r="J81" s="24"/>
      <c r="K81" s="24"/>
      <c r="L81" s="23" t="str">
        <f t="shared" si="1"/>
        <v/>
      </c>
      <c r="M81" s="2"/>
      <c r="N81" s="2"/>
      <c r="O81" s="2"/>
      <c r="P81" s="2"/>
      <c r="Q81" s="2"/>
      <c r="R81" s="2"/>
      <c r="S81" s="2"/>
      <c r="T81" s="2"/>
      <c r="U81" s="2"/>
      <c r="V81" s="2"/>
      <c r="W81" s="2"/>
      <c r="X81" s="2"/>
      <c r="Y81" s="2"/>
      <c r="Z81" s="2"/>
    </row>
    <row r="82" ht="33.75" customHeight="1">
      <c r="A82" s="22"/>
      <c r="B82" s="22"/>
      <c r="C82" s="22"/>
      <c r="D82" s="22"/>
      <c r="E82" s="22"/>
      <c r="F82" s="22"/>
      <c r="G82" s="22"/>
      <c r="H82" s="22"/>
      <c r="I82" s="22"/>
      <c r="J82" s="22"/>
      <c r="K82" s="22"/>
      <c r="L82" s="23" t="str">
        <f t="shared" si="1"/>
        <v/>
      </c>
      <c r="M82" s="2"/>
      <c r="N82" s="2"/>
      <c r="O82" s="2"/>
      <c r="P82" s="2"/>
      <c r="Q82" s="2"/>
      <c r="R82" s="2"/>
      <c r="S82" s="2"/>
      <c r="T82" s="2"/>
      <c r="U82" s="2"/>
      <c r="V82" s="2"/>
      <c r="W82" s="2"/>
      <c r="X82" s="2"/>
      <c r="Y82" s="2"/>
      <c r="Z82" s="2"/>
    </row>
    <row r="83" ht="33.75" customHeight="1">
      <c r="A83" s="24"/>
      <c r="B83" s="24"/>
      <c r="C83" s="24"/>
      <c r="D83" s="24"/>
      <c r="E83" s="24"/>
      <c r="F83" s="24"/>
      <c r="G83" s="24"/>
      <c r="H83" s="24"/>
      <c r="I83" s="24"/>
      <c r="J83" s="24"/>
      <c r="K83" s="24"/>
      <c r="L83" s="23" t="str">
        <f t="shared" si="1"/>
        <v/>
      </c>
      <c r="M83" s="2"/>
      <c r="N83" s="2"/>
      <c r="O83" s="2"/>
      <c r="P83" s="2"/>
      <c r="Q83" s="2"/>
      <c r="R83" s="2"/>
      <c r="S83" s="2"/>
      <c r="T83" s="2"/>
      <c r="U83" s="2"/>
      <c r="V83" s="2"/>
      <c r="W83" s="2"/>
      <c r="X83" s="2"/>
      <c r="Y83" s="2"/>
      <c r="Z83" s="2"/>
    </row>
    <row r="84" ht="33.75" customHeight="1">
      <c r="A84" s="22"/>
      <c r="B84" s="22"/>
      <c r="C84" s="22"/>
      <c r="D84" s="22"/>
      <c r="E84" s="22"/>
      <c r="F84" s="22"/>
      <c r="G84" s="22"/>
      <c r="H84" s="22"/>
      <c r="I84" s="22"/>
      <c r="J84" s="22"/>
      <c r="K84" s="22"/>
      <c r="L84" s="23" t="str">
        <f t="shared" si="1"/>
        <v/>
      </c>
      <c r="M84" s="2"/>
      <c r="N84" s="2"/>
      <c r="O84" s="2"/>
      <c r="P84" s="2"/>
      <c r="Q84" s="2"/>
      <c r="R84" s="2"/>
      <c r="S84" s="2"/>
      <c r="T84" s="2"/>
      <c r="U84" s="2"/>
      <c r="V84" s="2"/>
      <c r="W84" s="2"/>
      <c r="X84" s="2"/>
      <c r="Y84" s="2"/>
      <c r="Z84" s="2"/>
    </row>
    <row r="85" ht="33.75" customHeight="1">
      <c r="A85" s="24"/>
      <c r="B85" s="24"/>
      <c r="C85" s="24"/>
      <c r="D85" s="24"/>
      <c r="E85" s="24"/>
      <c r="F85" s="24"/>
      <c r="G85" s="24"/>
      <c r="H85" s="24"/>
      <c r="I85" s="24"/>
      <c r="J85" s="24"/>
      <c r="K85" s="24"/>
      <c r="L85" s="23" t="str">
        <f t="shared" si="1"/>
        <v/>
      </c>
      <c r="M85" s="2"/>
      <c r="N85" s="2"/>
      <c r="O85" s="2"/>
      <c r="P85" s="2"/>
      <c r="Q85" s="2"/>
      <c r="R85" s="2"/>
      <c r="S85" s="2"/>
      <c r="T85" s="2"/>
      <c r="U85" s="2"/>
      <c r="V85" s="2"/>
      <c r="W85" s="2"/>
      <c r="X85" s="2"/>
      <c r="Y85" s="2"/>
      <c r="Z85" s="2"/>
    </row>
    <row r="86" ht="33.75" customHeight="1">
      <c r="A86" s="22"/>
      <c r="B86" s="22"/>
      <c r="C86" s="22"/>
      <c r="D86" s="22"/>
      <c r="E86" s="22"/>
      <c r="F86" s="22"/>
      <c r="G86" s="22"/>
      <c r="H86" s="22"/>
      <c r="I86" s="22"/>
      <c r="J86" s="22"/>
      <c r="K86" s="22"/>
      <c r="L86" s="23" t="str">
        <f t="shared" si="1"/>
        <v/>
      </c>
      <c r="M86" s="2"/>
      <c r="N86" s="2"/>
      <c r="O86" s="2"/>
      <c r="P86" s="2"/>
      <c r="Q86" s="2"/>
      <c r="R86" s="2"/>
      <c r="S86" s="2"/>
      <c r="T86" s="2"/>
      <c r="U86" s="2"/>
      <c r="V86" s="2"/>
      <c r="W86" s="2"/>
      <c r="X86" s="2"/>
      <c r="Y86" s="2"/>
      <c r="Z86" s="2"/>
    </row>
    <row r="87" ht="33.75" customHeight="1">
      <c r="A87" s="24"/>
      <c r="B87" s="24"/>
      <c r="C87" s="24"/>
      <c r="D87" s="24"/>
      <c r="E87" s="24"/>
      <c r="F87" s="24"/>
      <c r="G87" s="24"/>
      <c r="H87" s="24"/>
      <c r="I87" s="24"/>
      <c r="J87" s="24"/>
      <c r="K87" s="24"/>
      <c r="L87" s="23" t="str">
        <f t="shared" si="1"/>
        <v/>
      </c>
      <c r="M87" s="2"/>
      <c r="N87" s="2"/>
      <c r="O87" s="2"/>
      <c r="P87" s="2"/>
      <c r="Q87" s="2"/>
      <c r="R87" s="2"/>
      <c r="S87" s="2"/>
      <c r="T87" s="2"/>
      <c r="U87" s="2"/>
      <c r="V87" s="2"/>
      <c r="W87" s="2"/>
      <c r="X87" s="2"/>
      <c r="Y87" s="2"/>
      <c r="Z87" s="2"/>
    </row>
    <row r="88" ht="33.75" customHeight="1">
      <c r="A88" s="22"/>
      <c r="B88" s="22"/>
      <c r="C88" s="22"/>
      <c r="D88" s="22"/>
      <c r="E88" s="22"/>
      <c r="F88" s="22"/>
      <c r="G88" s="22"/>
      <c r="H88" s="22"/>
      <c r="I88" s="22"/>
      <c r="J88" s="22"/>
      <c r="K88" s="22"/>
      <c r="L88" s="23" t="str">
        <f t="shared" si="1"/>
        <v/>
      </c>
      <c r="M88" s="2"/>
      <c r="N88" s="2"/>
      <c r="O88" s="2"/>
      <c r="P88" s="2"/>
      <c r="Q88" s="2"/>
      <c r="R88" s="2"/>
      <c r="S88" s="2"/>
      <c r="T88" s="2"/>
      <c r="U88" s="2"/>
      <c r="V88" s="2"/>
      <c r="W88" s="2"/>
      <c r="X88" s="2"/>
      <c r="Y88" s="2"/>
      <c r="Z88" s="2"/>
    </row>
    <row r="89" ht="33.75" customHeight="1">
      <c r="A89" s="24"/>
      <c r="B89" s="24"/>
      <c r="C89" s="24"/>
      <c r="D89" s="24"/>
      <c r="E89" s="24"/>
      <c r="F89" s="24"/>
      <c r="G89" s="24"/>
      <c r="H89" s="24"/>
      <c r="I89" s="24"/>
      <c r="J89" s="24"/>
      <c r="K89" s="24"/>
      <c r="L89" s="23" t="str">
        <f t="shared" si="1"/>
        <v/>
      </c>
      <c r="M89" s="2"/>
      <c r="N89" s="2"/>
      <c r="O89" s="2"/>
      <c r="P89" s="2"/>
      <c r="Q89" s="2"/>
      <c r="R89" s="2"/>
      <c r="S89" s="2"/>
      <c r="T89" s="2"/>
      <c r="U89" s="2"/>
      <c r="V89" s="2"/>
      <c r="W89" s="2"/>
      <c r="X89" s="2"/>
      <c r="Y89" s="2"/>
      <c r="Z89" s="2"/>
    </row>
    <row r="90" ht="33.75" customHeight="1">
      <c r="A90" s="22"/>
      <c r="B90" s="22"/>
      <c r="C90" s="22"/>
      <c r="D90" s="22"/>
      <c r="E90" s="22"/>
      <c r="F90" s="22"/>
      <c r="G90" s="22"/>
      <c r="H90" s="22"/>
      <c r="I90" s="22"/>
      <c r="J90" s="22"/>
      <c r="K90" s="22"/>
      <c r="L90" s="23" t="str">
        <f t="shared" si="1"/>
        <v/>
      </c>
      <c r="M90" s="2"/>
      <c r="N90" s="2"/>
      <c r="O90" s="2"/>
      <c r="P90" s="2"/>
      <c r="Q90" s="2"/>
      <c r="R90" s="2"/>
      <c r="S90" s="2"/>
      <c r="T90" s="2"/>
      <c r="U90" s="2"/>
      <c r="V90" s="2"/>
      <c r="W90" s="2"/>
      <c r="X90" s="2"/>
      <c r="Y90" s="2"/>
      <c r="Z90" s="2"/>
    </row>
    <row r="91" ht="33.75" customHeight="1">
      <c r="A91" s="24"/>
      <c r="B91" s="24"/>
      <c r="C91" s="24"/>
      <c r="D91" s="24"/>
      <c r="E91" s="24"/>
      <c r="F91" s="24"/>
      <c r="G91" s="24"/>
      <c r="H91" s="24"/>
      <c r="I91" s="24"/>
      <c r="J91" s="24"/>
      <c r="K91" s="24"/>
      <c r="L91" s="23" t="str">
        <f t="shared" si="1"/>
        <v/>
      </c>
      <c r="M91" s="2"/>
      <c r="N91" s="2"/>
      <c r="O91" s="2"/>
      <c r="P91" s="2"/>
      <c r="Q91" s="2"/>
      <c r="R91" s="2"/>
      <c r="S91" s="2"/>
      <c r="T91" s="2"/>
      <c r="U91" s="2"/>
      <c r="V91" s="2"/>
      <c r="W91" s="2"/>
      <c r="X91" s="2"/>
      <c r="Y91" s="2"/>
      <c r="Z91" s="2"/>
    </row>
    <row r="92" ht="33.75" customHeight="1">
      <c r="A92" s="22"/>
      <c r="B92" s="22"/>
      <c r="C92" s="22"/>
      <c r="D92" s="22"/>
      <c r="E92" s="22"/>
      <c r="F92" s="22"/>
      <c r="G92" s="22"/>
      <c r="H92" s="22"/>
      <c r="I92" s="22"/>
      <c r="J92" s="22"/>
      <c r="K92" s="22"/>
      <c r="L92" s="23" t="str">
        <f t="shared" si="1"/>
        <v/>
      </c>
      <c r="M92" s="2"/>
      <c r="N92" s="2"/>
      <c r="O92" s="2"/>
      <c r="P92" s="2"/>
      <c r="Q92" s="2"/>
      <c r="R92" s="2"/>
      <c r="S92" s="2"/>
      <c r="T92" s="2"/>
      <c r="U92" s="2"/>
      <c r="V92" s="2"/>
      <c r="W92" s="2"/>
      <c r="X92" s="2"/>
      <c r="Y92" s="2"/>
      <c r="Z92" s="2"/>
    </row>
    <row r="93" ht="33.75" customHeight="1">
      <c r="A93" s="24"/>
      <c r="B93" s="24"/>
      <c r="C93" s="24"/>
      <c r="D93" s="24"/>
      <c r="E93" s="24"/>
      <c r="F93" s="24"/>
      <c r="G93" s="24"/>
      <c r="H93" s="24"/>
      <c r="I93" s="24"/>
      <c r="J93" s="24"/>
      <c r="K93" s="24"/>
      <c r="L93" s="23" t="str">
        <f t="shared" si="1"/>
        <v/>
      </c>
      <c r="M93" s="2"/>
      <c r="N93" s="2"/>
      <c r="O93" s="2"/>
      <c r="P93" s="2"/>
      <c r="Q93" s="2"/>
      <c r="R93" s="2"/>
      <c r="S93" s="2"/>
      <c r="T93" s="2"/>
      <c r="U93" s="2"/>
      <c r="V93" s="2"/>
      <c r="W93" s="2"/>
      <c r="X93" s="2"/>
      <c r="Y93" s="2"/>
      <c r="Z93" s="2"/>
    </row>
    <row r="94" ht="33.75" customHeight="1">
      <c r="A94" s="22"/>
      <c r="B94" s="22"/>
      <c r="C94" s="22"/>
      <c r="D94" s="22"/>
      <c r="E94" s="22"/>
      <c r="F94" s="22"/>
      <c r="G94" s="22"/>
      <c r="H94" s="22"/>
      <c r="I94" s="22"/>
      <c r="J94" s="22"/>
      <c r="K94" s="22"/>
      <c r="L94" s="23" t="str">
        <f t="shared" si="1"/>
        <v/>
      </c>
      <c r="M94" s="2"/>
      <c r="N94" s="2"/>
      <c r="O94" s="2"/>
      <c r="P94" s="2"/>
      <c r="Q94" s="2"/>
      <c r="R94" s="2"/>
      <c r="S94" s="2"/>
      <c r="T94" s="2"/>
      <c r="U94" s="2"/>
      <c r="V94" s="2"/>
      <c r="W94" s="2"/>
      <c r="X94" s="2"/>
      <c r="Y94" s="2"/>
      <c r="Z94" s="2"/>
    </row>
    <row r="95" ht="33.75" customHeight="1">
      <c r="A95" s="24"/>
      <c r="B95" s="24"/>
      <c r="C95" s="24"/>
      <c r="D95" s="24"/>
      <c r="E95" s="24"/>
      <c r="F95" s="24"/>
      <c r="G95" s="24"/>
      <c r="H95" s="24"/>
      <c r="I95" s="24"/>
      <c r="J95" s="24"/>
      <c r="K95" s="24"/>
      <c r="L95" s="23" t="str">
        <f t="shared" si="1"/>
        <v/>
      </c>
      <c r="M95" s="2"/>
      <c r="N95" s="2"/>
      <c r="O95" s="2"/>
      <c r="P95" s="2"/>
      <c r="Q95" s="2"/>
      <c r="R95" s="2"/>
      <c r="S95" s="2"/>
      <c r="T95" s="2"/>
      <c r="U95" s="2"/>
      <c r="V95" s="2"/>
      <c r="W95" s="2"/>
      <c r="X95" s="2"/>
      <c r="Y95" s="2"/>
      <c r="Z95" s="2"/>
    </row>
    <row r="96" ht="33.75" customHeight="1">
      <c r="A96" s="22"/>
      <c r="B96" s="22"/>
      <c r="C96" s="22"/>
      <c r="D96" s="22"/>
      <c r="E96" s="22"/>
      <c r="F96" s="22"/>
      <c r="G96" s="22"/>
      <c r="H96" s="22"/>
      <c r="I96" s="22"/>
      <c r="J96" s="22"/>
      <c r="K96" s="22"/>
      <c r="L96" s="23" t="str">
        <f t="shared" si="1"/>
        <v/>
      </c>
      <c r="M96" s="2"/>
      <c r="N96" s="2"/>
      <c r="O96" s="2"/>
      <c r="P96" s="2"/>
      <c r="Q96" s="2"/>
      <c r="R96" s="2"/>
      <c r="S96" s="2"/>
      <c r="T96" s="2"/>
      <c r="U96" s="2"/>
      <c r="V96" s="2"/>
      <c r="W96" s="2"/>
      <c r="X96" s="2"/>
      <c r="Y96" s="2"/>
      <c r="Z96" s="2"/>
    </row>
    <row r="97" ht="33.75" customHeight="1">
      <c r="A97" s="24"/>
      <c r="B97" s="24"/>
      <c r="C97" s="24"/>
      <c r="D97" s="24"/>
      <c r="E97" s="24"/>
      <c r="F97" s="24"/>
      <c r="G97" s="24"/>
      <c r="H97" s="24"/>
      <c r="I97" s="24"/>
      <c r="J97" s="24"/>
      <c r="K97" s="24"/>
      <c r="L97" s="23" t="str">
        <f t="shared" si="1"/>
        <v/>
      </c>
      <c r="M97" s="2"/>
      <c r="N97" s="2"/>
      <c r="O97" s="2"/>
      <c r="P97" s="2"/>
      <c r="Q97" s="2"/>
      <c r="R97" s="2"/>
      <c r="S97" s="2"/>
      <c r="T97" s="2"/>
      <c r="U97" s="2"/>
      <c r="V97" s="2"/>
      <c r="W97" s="2"/>
      <c r="X97" s="2"/>
      <c r="Y97" s="2"/>
      <c r="Z97" s="2"/>
    </row>
    <row r="98" ht="33.75" customHeight="1">
      <c r="A98" s="22"/>
      <c r="B98" s="22"/>
      <c r="C98" s="22"/>
      <c r="D98" s="22"/>
      <c r="E98" s="22"/>
      <c r="F98" s="22"/>
      <c r="G98" s="22"/>
      <c r="H98" s="22"/>
      <c r="I98" s="22"/>
      <c r="J98" s="22"/>
      <c r="K98" s="22"/>
      <c r="L98" s="23" t="str">
        <f t="shared" si="1"/>
        <v/>
      </c>
      <c r="M98" s="2"/>
      <c r="N98" s="2"/>
      <c r="O98" s="2"/>
      <c r="P98" s="2"/>
      <c r="Q98" s="2"/>
      <c r="R98" s="2"/>
      <c r="S98" s="2"/>
      <c r="T98" s="2"/>
      <c r="U98" s="2"/>
      <c r="V98" s="2"/>
      <c r="W98" s="2"/>
      <c r="X98" s="2"/>
      <c r="Y98" s="2"/>
      <c r="Z98" s="2"/>
    </row>
    <row r="99" ht="33.75" customHeight="1">
      <c r="A99" s="24"/>
      <c r="B99" s="24"/>
      <c r="C99" s="24"/>
      <c r="D99" s="24"/>
      <c r="E99" s="24"/>
      <c r="F99" s="24"/>
      <c r="G99" s="24"/>
      <c r="H99" s="24"/>
      <c r="I99" s="24"/>
      <c r="J99" s="24"/>
      <c r="K99" s="24"/>
      <c r="L99" s="23" t="str">
        <f t="shared" si="1"/>
        <v/>
      </c>
      <c r="M99" s="2"/>
      <c r="N99" s="2"/>
      <c r="O99" s="2"/>
      <c r="P99" s="2"/>
      <c r="Q99" s="2"/>
      <c r="R99" s="2"/>
      <c r="S99" s="2"/>
      <c r="T99" s="2"/>
      <c r="U99" s="2"/>
      <c r="V99" s="2"/>
      <c r="W99" s="2"/>
      <c r="X99" s="2"/>
      <c r="Y99" s="2"/>
      <c r="Z99" s="2"/>
    </row>
    <row r="100" ht="33.75" customHeight="1">
      <c r="A100" s="22"/>
      <c r="B100" s="22"/>
      <c r="C100" s="22"/>
      <c r="D100" s="22"/>
      <c r="E100" s="22"/>
      <c r="F100" s="22"/>
      <c r="G100" s="22"/>
      <c r="H100" s="22"/>
      <c r="I100" s="22"/>
      <c r="J100" s="22"/>
      <c r="K100" s="22"/>
      <c r="L100" s="23" t="str">
        <f t="shared" si="1"/>
        <v/>
      </c>
      <c r="M100" s="2"/>
      <c r="N100" s="2"/>
      <c r="O100" s="2"/>
      <c r="P100" s="2"/>
      <c r="Q100" s="2"/>
      <c r="R100" s="2"/>
      <c r="S100" s="2"/>
      <c r="T100" s="2"/>
      <c r="U100" s="2"/>
      <c r="V100" s="2"/>
      <c r="W100" s="2"/>
      <c r="X100" s="2"/>
      <c r="Y100" s="2"/>
      <c r="Z100" s="2"/>
    </row>
    <row r="101" ht="33.75" customHeight="1">
      <c r="A101" s="24"/>
      <c r="B101" s="24"/>
      <c r="C101" s="24"/>
      <c r="D101" s="24"/>
      <c r="E101" s="24"/>
      <c r="F101" s="24"/>
      <c r="G101" s="24"/>
      <c r="H101" s="24"/>
      <c r="I101" s="24"/>
      <c r="J101" s="24"/>
      <c r="K101" s="24"/>
      <c r="L101" s="23" t="str">
        <f t="shared" si="1"/>
        <v/>
      </c>
      <c r="M101" s="2"/>
      <c r="N101" s="2"/>
      <c r="O101" s="2"/>
      <c r="P101" s="2"/>
      <c r="Q101" s="2"/>
      <c r="R101" s="2"/>
      <c r="S101" s="2"/>
      <c r="T101" s="2"/>
      <c r="U101" s="2"/>
      <c r="V101" s="2"/>
      <c r="W101" s="2"/>
      <c r="X101" s="2"/>
      <c r="Y101" s="2"/>
      <c r="Z101" s="2"/>
    </row>
    <row r="102" ht="33.75" customHeight="1">
      <c r="A102" s="22"/>
      <c r="B102" s="22"/>
      <c r="C102" s="22"/>
      <c r="D102" s="22"/>
      <c r="E102" s="22"/>
      <c r="F102" s="22"/>
      <c r="G102" s="22"/>
      <c r="H102" s="22"/>
      <c r="I102" s="22"/>
      <c r="J102" s="22"/>
      <c r="K102" s="22"/>
      <c r="L102" s="23" t="str">
        <f t="shared" si="1"/>
        <v/>
      </c>
      <c r="M102" s="2"/>
      <c r="N102" s="2"/>
      <c r="O102" s="2"/>
      <c r="P102" s="2"/>
      <c r="Q102" s="2"/>
      <c r="R102" s="2"/>
      <c r="S102" s="2"/>
      <c r="T102" s="2"/>
      <c r="U102" s="2"/>
      <c r="V102" s="2"/>
      <c r="W102" s="2"/>
      <c r="X102" s="2"/>
      <c r="Y102" s="2"/>
      <c r="Z102" s="2"/>
    </row>
    <row r="103" ht="33.75" customHeight="1">
      <c r="A103" s="24"/>
      <c r="B103" s="24"/>
      <c r="C103" s="24"/>
      <c r="D103" s="24"/>
      <c r="E103" s="24"/>
      <c r="F103" s="24"/>
      <c r="G103" s="24"/>
      <c r="H103" s="24"/>
      <c r="I103" s="24"/>
      <c r="J103" s="24"/>
      <c r="K103" s="24"/>
      <c r="L103" s="23" t="str">
        <f t="shared" si="1"/>
        <v/>
      </c>
      <c r="M103" s="2"/>
      <c r="N103" s="2"/>
      <c r="O103" s="2"/>
      <c r="P103" s="2"/>
      <c r="Q103" s="2"/>
      <c r="R103" s="2"/>
      <c r="S103" s="2"/>
      <c r="T103" s="2"/>
      <c r="U103" s="2"/>
      <c r="V103" s="2"/>
      <c r="W103" s="2"/>
      <c r="X103" s="2"/>
      <c r="Y103" s="2"/>
      <c r="Z103" s="2"/>
    </row>
    <row r="104" ht="33.75" customHeight="1">
      <c r="A104" s="22"/>
      <c r="B104" s="22"/>
      <c r="C104" s="22"/>
      <c r="D104" s="22"/>
      <c r="E104" s="22"/>
      <c r="F104" s="22"/>
      <c r="G104" s="22"/>
      <c r="H104" s="22"/>
      <c r="I104" s="22"/>
      <c r="J104" s="22"/>
      <c r="K104" s="22"/>
      <c r="L104" s="23" t="str">
        <f t="shared" si="1"/>
        <v/>
      </c>
      <c r="M104" s="2"/>
      <c r="N104" s="2"/>
      <c r="O104" s="2"/>
      <c r="P104" s="2"/>
      <c r="Q104" s="2"/>
      <c r="R104" s="2"/>
      <c r="S104" s="2"/>
      <c r="T104" s="2"/>
      <c r="U104" s="2"/>
      <c r="V104" s="2"/>
      <c r="W104" s="2"/>
      <c r="X104" s="2"/>
      <c r="Y104" s="2"/>
      <c r="Z104" s="2"/>
    </row>
    <row r="105" ht="33.75" customHeight="1">
      <c r="A105" s="24"/>
      <c r="B105" s="24"/>
      <c r="C105" s="24"/>
      <c r="D105" s="24"/>
      <c r="E105" s="24"/>
      <c r="F105" s="24"/>
      <c r="G105" s="24"/>
      <c r="H105" s="24"/>
      <c r="I105" s="24"/>
      <c r="J105" s="24"/>
      <c r="K105" s="24"/>
      <c r="L105" s="23" t="str">
        <f t="shared" si="1"/>
        <v/>
      </c>
      <c r="M105" s="2"/>
      <c r="N105" s="2"/>
      <c r="O105" s="2"/>
      <c r="P105" s="2"/>
      <c r="Q105" s="2"/>
      <c r="R105" s="2"/>
      <c r="S105" s="2"/>
      <c r="T105" s="2"/>
      <c r="U105" s="2"/>
      <c r="V105" s="2"/>
      <c r="W105" s="2"/>
      <c r="X105" s="2"/>
      <c r="Y105" s="2"/>
      <c r="Z105" s="2"/>
    </row>
    <row r="106" ht="33.75" customHeight="1">
      <c r="A106" s="22"/>
      <c r="B106" s="22"/>
      <c r="C106" s="22"/>
      <c r="D106" s="22"/>
      <c r="E106" s="22"/>
      <c r="F106" s="22"/>
      <c r="G106" s="22"/>
      <c r="H106" s="22"/>
      <c r="I106" s="22"/>
      <c r="J106" s="22"/>
      <c r="K106" s="22"/>
      <c r="L106" s="23" t="str">
        <f t="shared" si="1"/>
        <v/>
      </c>
      <c r="M106" s="2"/>
      <c r="N106" s="2"/>
      <c r="O106" s="2"/>
      <c r="P106" s="2"/>
      <c r="Q106" s="2"/>
      <c r="R106" s="2"/>
      <c r="S106" s="2"/>
      <c r="T106" s="2"/>
      <c r="U106" s="2"/>
      <c r="V106" s="2"/>
      <c r="W106" s="2"/>
      <c r="X106" s="2"/>
      <c r="Y106" s="2"/>
      <c r="Z106" s="2"/>
    </row>
    <row r="107" ht="33.75" customHeight="1">
      <c r="A107" s="24"/>
      <c r="B107" s="24"/>
      <c r="C107" s="24"/>
      <c r="D107" s="24"/>
      <c r="E107" s="24"/>
      <c r="F107" s="24"/>
      <c r="G107" s="24"/>
      <c r="H107" s="24"/>
      <c r="I107" s="24"/>
      <c r="J107" s="24"/>
      <c r="K107" s="24"/>
      <c r="L107" s="23" t="str">
        <f t="shared" si="1"/>
        <v/>
      </c>
      <c r="M107" s="2"/>
      <c r="N107" s="2"/>
      <c r="O107" s="2"/>
      <c r="P107" s="2"/>
      <c r="Q107" s="2"/>
      <c r="R107" s="2"/>
      <c r="S107" s="2"/>
      <c r="T107" s="2"/>
      <c r="U107" s="2"/>
      <c r="V107" s="2"/>
      <c r="W107" s="2"/>
      <c r="X107" s="2"/>
      <c r="Y107" s="2"/>
      <c r="Z107" s="2"/>
    </row>
    <row r="108" ht="33.75" customHeight="1">
      <c r="A108" s="22"/>
      <c r="B108" s="22"/>
      <c r="C108" s="22"/>
      <c r="D108" s="22"/>
      <c r="E108" s="22"/>
      <c r="F108" s="22"/>
      <c r="G108" s="22"/>
      <c r="H108" s="22"/>
      <c r="I108" s="22"/>
      <c r="J108" s="22"/>
      <c r="K108" s="22"/>
      <c r="L108" s="23" t="str">
        <f t="shared" si="1"/>
        <v/>
      </c>
      <c r="M108" s="2"/>
      <c r="N108" s="2"/>
      <c r="O108" s="2"/>
      <c r="P108" s="2"/>
      <c r="Q108" s="2"/>
      <c r="R108" s="2"/>
      <c r="S108" s="2"/>
      <c r="T108" s="2"/>
      <c r="U108" s="2"/>
      <c r="V108" s="2"/>
      <c r="W108" s="2"/>
      <c r="X108" s="2"/>
      <c r="Y108" s="2"/>
      <c r="Z108" s="2"/>
    </row>
    <row r="109" ht="33.75" customHeight="1">
      <c r="A109" s="24"/>
      <c r="B109" s="24"/>
      <c r="C109" s="24"/>
      <c r="D109" s="24"/>
      <c r="E109" s="24"/>
      <c r="F109" s="24"/>
      <c r="G109" s="24"/>
      <c r="H109" s="24"/>
      <c r="I109" s="24"/>
      <c r="J109" s="24"/>
      <c r="K109" s="24"/>
      <c r="L109" s="23" t="str">
        <f t="shared" si="1"/>
        <v/>
      </c>
      <c r="M109" s="2"/>
      <c r="N109" s="2"/>
      <c r="O109" s="2"/>
      <c r="P109" s="2"/>
      <c r="Q109" s="2"/>
      <c r="R109" s="2"/>
      <c r="S109" s="2"/>
      <c r="T109" s="2"/>
      <c r="U109" s="2"/>
      <c r="V109" s="2"/>
      <c r="W109" s="2"/>
      <c r="X109" s="2"/>
      <c r="Y109" s="2"/>
      <c r="Z109" s="2"/>
    </row>
    <row r="110" ht="33.75" customHeight="1">
      <c r="A110" s="22"/>
      <c r="B110" s="22"/>
      <c r="C110" s="22"/>
      <c r="D110" s="22"/>
      <c r="E110" s="22"/>
      <c r="F110" s="22"/>
      <c r="G110" s="22"/>
      <c r="H110" s="22"/>
      <c r="I110" s="22"/>
      <c r="J110" s="22"/>
      <c r="K110" s="22"/>
      <c r="L110" s="23" t="str">
        <f t="shared" si="1"/>
        <v/>
      </c>
      <c r="M110" s="2"/>
      <c r="N110" s="2"/>
      <c r="O110" s="2"/>
      <c r="P110" s="2"/>
      <c r="Q110" s="2"/>
      <c r="R110" s="2"/>
      <c r="S110" s="2"/>
      <c r="T110" s="2"/>
      <c r="U110" s="2"/>
      <c r="V110" s="2"/>
      <c r="W110" s="2"/>
      <c r="X110" s="2"/>
      <c r="Y110" s="2"/>
      <c r="Z110" s="2"/>
    </row>
    <row r="111" ht="33.75" customHeight="1">
      <c r="A111" s="24"/>
      <c r="B111" s="24"/>
      <c r="C111" s="24"/>
      <c r="D111" s="24"/>
      <c r="E111" s="24"/>
      <c r="F111" s="24"/>
      <c r="G111" s="24"/>
      <c r="H111" s="24"/>
      <c r="I111" s="24"/>
      <c r="J111" s="24"/>
      <c r="K111" s="24"/>
      <c r="L111" s="23" t="str">
        <f t="shared" si="1"/>
        <v/>
      </c>
      <c r="M111" s="2"/>
      <c r="N111" s="2"/>
      <c r="O111" s="2"/>
      <c r="P111" s="2"/>
      <c r="Q111" s="2"/>
      <c r="R111" s="2"/>
      <c r="S111" s="2"/>
      <c r="T111" s="2"/>
      <c r="U111" s="2"/>
      <c r="V111" s="2"/>
      <c r="W111" s="2"/>
      <c r="X111" s="2"/>
      <c r="Y111" s="2"/>
      <c r="Z111" s="2"/>
    </row>
    <row r="112" ht="33.75" customHeight="1">
      <c r="A112" s="22"/>
      <c r="B112" s="22"/>
      <c r="C112" s="22"/>
      <c r="D112" s="22"/>
      <c r="E112" s="22"/>
      <c r="F112" s="22"/>
      <c r="G112" s="22"/>
      <c r="H112" s="22"/>
      <c r="I112" s="22"/>
      <c r="J112" s="22"/>
      <c r="K112" s="22"/>
      <c r="L112" s="23" t="str">
        <f t="shared" si="1"/>
        <v/>
      </c>
      <c r="M112" s="2"/>
      <c r="N112" s="2"/>
      <c r="O112" s="2"/>
      <c r="P112" s="2"/>
      <c r="Q112" s="2"/>
      <c r="R112" s="2"/>
      <c r="S112" s="2"/>
      <c r="T112" s="2"/>
      <c r="U112" s="2"/>
      <c r="V112" s="2"/>
      <c r="W112" s="2"/>
      <c r="X112" s="2"/>
      <c r="Y112" s="2"/>
      <c r="Z112" s="2"/>
    </row>
    <row r="113" ht="33.75" customHeight="1">
      <c r="A113" s="24"/>
      <c r="B113" s="24"/>
      <c r="C113" s="24"/>
      <c r="D113" s="24"/>
      <c r="E113" s="24"/>
      <c r="F113" s="24"/>
      <c r="G113" s="24"/>
      <c r="H113" s="24"/>
      <c r="I113" s="24"/>
      <c r="J113" s="24"/>
      <c r="K113" s="24"/>
      <c r="L113" s="23" t="str">
        <f t="shared" si="1"/>
        <v/>
      </c>
      <c r="M113" s="2"/>
      <c r="N113" s="2"/>
      <c r="O113" s="2"/>
      <c r="P113" s="2"/>
      <c r="Q113" s="2"/>
      <c r="R113" s="2"/>
      <c r="S113" s="2"/>
      <c r="T113" s="2"/>
      <c r="U113" s="2"/>
      <c r="V113" s="2"/>
      <c r="W113" s="2"/>
      <c r="X113" s="2"/>
      <c r="Y113" s="2"/>
      <c r="Z113" s="2"/>
    </row>
    <row r="114" ht="33.75" customHeight="1">
      <c r="A114" s="22"/>
      <c r="B114" s="22"/>
      <c r="C114" s="22"/>
      <c r="D114" s="22"/>
      <c r="E114" s="22"/>
      <c r="F114" s="22"/>
      <c r="G114" s="22"/>
      <c r="H114" s="22"/>
      <c r="I114" s="22"/>
      <c r="J114" s="22"/>
      <c r="K114" s="22"/>
      <c r="L114" s="23" t="str">
        <f t="shared" si="1"/>
        <v/>
      </c>
      <c r="M114" s="2"/>
      <c r="N114" s="2"/>
      <c r="O114" s="2"/>
      <c r="P114" s="2"/>
      <c r="Q114" s="2"/>
      <c r="R114" s="2"/>
      <c r="S114" s="2"/>
      <c r="T114" s="2"/>
      <c r="U114" s="2"/>
      <c r="V114" s="2"/>
      <c r="W114" s="2"/>
      <c r="X114" s="2"/>
      <c r="Y114" s="2"/>
      <c r="Z114" s="2"/>
    </row>
    <row r="115" ht="33.75" customHeight="1">
      <c r="A115" s="24"/>
      <c r="B115" s="24"/>
      <c r="C115" s="24"/>
      <c r="D115" s="24"/>
      <c r="E115" s="24"/>
      <c r="F115" s="24"/>
      <c r="G115" s="24"/>
      <c r="H115" s="24"/>
      <c r="I115" s="24"/>
      <c r="J115" s="24"/>
      <c r="K115" s="24"/>
      <c r="L115" s="23" t="str">
        <f t="shared" si="1"/>
        <v/>
      </c>
      <c r="M115" s="2"/>
      <c r="N115" s="2"/>
      <c r="O115" s="2"/>
      <c r="P115" s="2"/>
      <c r="Q115" s="2"/>
      <c r="R115" s="2"/>
      <c r="S115" s="2"/>
      <c r="T115" s="2"/>
      <c r="U115" s="2"/>
      <c r="V115" s="2"/>
      <c r="W115" s="2"/>
      <c r="X115" s="2"/>
      <c r="Y115" s="2"/>
      <c r="Z115" s="2"/>
    </row>
    <row r="116" ht="33.75" customHeight="1">
      <c r="A116" s="22"/>
      <c r="B116" s="22"/>
      <c r="C116" s="22"/>
      <c r="D116" s="22"/>
      <c r="E116" s="22"/>
      <c r="F116" s="22"/>
      <c r="G116" s="22"/>
      <c r="H116" s="22"/>
      <c r="I116" s="22"/>
      <c r="J116" s="22"/>
      <c r="K116" s="22"/>
      <c r="L116" s="23" t="str">
        <f t="shared" si="1"/>
        <v/>
      </c>
      <c r="M116" s="2"/>
      <c r="N116" s="2"/>
      <c r="O116" s="2"/>
      <c r="P116" s="2"/>
      <c r="Q116" s="2"/>
      <c r="R116" s="2"/>
      <c r="S116" s="2"/>
      <c r="T116" s="2"/>
      <c r="U116" s="2"/>
      <c r="V116" s="2"/>
      <c r="W116" s="2"/>
      <c r="X116" s="2"/>
      <c r="Y116" s="2"/>
      <c r="Z116" s="2"/>
    </row>
    <row r="117" ht="33.75" customHeight="1">
      <c r="A117" s="24"/>
      <c r="B117" s="24"/>
      <c r="C117" s="24"/>
      <c r="D117" s="24"/>
      <c r="E117" s="24"/>
      <c r="F117" s="24"/>
      <c r="G117" s="24"/>
      <c r="H117" s="24"/>
      <c r="I117" s="24"/>
      <c r="J117" s="24"/>
      <c r="K117" s="24"/>
      <c r="L117" s="23" t="str">
        <f t="shared" si="1"/>
        <v/>
      </c>
      <c r="M117" s="2"/>
      <c r="N117" s="2"/>
      <c r="O117" s="2"/>
      <c r="P117" s="2"/>
      <c r="Q117" s="2"/>
      <c r="R117" s="2"/>
      <c r="S117" s="2"/>
      <c r="T117" s="2"/>
      <c r="U117" s="2"/>
      <c r="V117" s="2"/>
      <c r="W117" s="2"/>
      <c r="X117" s="2"/>
      <c r="Y117" s="2"/>
      <c r="Z117" s="2"/>
    </row>
    <row r="118" ht="33.75" customHeight="1">
      <c r="A118" s="22"/>
      <c r="B118" s="22"/>
      <c r="C118" s="22"/>
      <c r="D118" s="22"/>
      <c r="E118" s="22"/>
      <c r="F118" s="22"/>
      <c r="G118" s="22"/>
      <c r="H118" s="22"/>
      <c r="I118" s="22"/>
      <c r="J118" s="22"/>
      <c r="K118" s="22"/>
      <c r="L118" s="23" t="str">
        <f t="shared" si="1"/>
        <v/>
      </c>
      <c r="M118" s="2"/>
      <c r="N118" s="2"/>
      <c r="O118" s="2"/>
      <c r="P118" s="2"/>
      <c r="Q118" s="2"/>
      <c r="R118" s="2"/>
      <c r="S118" s="2"/>
      <c r="T118" s="2"/>
      <c r="U118" s="2"/>
      <c r="V118" s="2"/>
      <c r="W118" s="2"/>
      <c r="X118" s="2"/>
      <c r="Y118" s="2"/>
      <c r="Z118" s="2"/>
    </row>
    <row r="119" ht="33.75" customHeight="1">
      <c r="A119" s="24"/>
      <c r="B119" s="24"/>
      <c r="C119" s="24"/>
      <c r="D119" s="24"/>
      <c r="E119" s="24"/>
      <c r="F119" s="24"/>
      <c r="G119" s="24"/>
      <c r="H119" s="24"/>
      <c r="I119" s="24"/>
      <c r="J119" s="24"/>
      <c r="K119" s="24"/>
      <c r="L119" s="23" t="str">
        <f t="shared" si="1"/>
        <v/>
      </c>
      <c r="M119" s="2"/>
      <c r="N119" s="2"/>
      <c r="O119" s="2"/>
      <c r="P119" s="2"/>
      <c r="Q119" s="2"/>
      <c r="R119" s="2"/>
      <c r="S119" s="2"/>
      <c r="T119" s="2"/>
      <c r="U119" s="2"/>
      <c r="V119" s="2"/>
      <c r="W119" s="2"/>
      <c r="X119" s="2"/>
      <c r="Y119" s="2"/>
      <c r="Z119" s="2"/>
    </row>
    <row r="120" ht="33.75" customHeight="1">
      <c r="A120" s="22"/>
      <c r="B120" s="22"/>
      <c r="C120" s="22"/>
      <c r="D120" s="22"/>
      <c r="E120" s="22"/>
      <c r="F120" s="22"/>
      <c r="G120" s="22"/>
      <c r="H120" s="22"/>
      <c r="I120" s="22"/>
      <c r="J120" s="22"/>
      <c r="K120" s="22"/>
      <c r="L120" s="23" t="str">
        <f t="shared" si="1"/>
        <v/>
      </c>
      <c r="M120" s="2"/>
      <c r="N120" s="2"/>
      <c r="O120" s="2"/>
      <c r="P120" s="2"/>
      <c r="Q120" s="2"/>
      <c r="R120" s="2"/>
      <c r="S120" s="2"/>
      <c r="T120" s="2"/>
      <c r="U120" s="2"/>
      <c r="V120" s="2"/>
      <c r="W120" s="2"/>
      <c r="X120" s="2"/>
      <c r="Y120" s="2"/>
      <c r="Z120" s="2"/>
    </row>
    <row r="121" ht="33.75" customHeight="1">
      <c r="A121" s="24"/>
      <c r="B121" s="24"/>
      <c r="C121" s="24"/>
      <c r="D121" s="24"/>
      <c r="E121" s="24"/>
      <c r="F121" s="24"/>
      <c r="G121" s="24"/>
      <c r="H121" s="24"/>
      <c r="I121" s="24"/>
      <c r="J121" s="24"/>
      <c r="K121" s="24"/>
      <c r="L121" s="23" t="str">
        <f t="shared" si="1"/>
        <v/>
      </c>
      <c r="M121" s="2"/>
      <c r="N121" s="2"/>
      <c r="O121" s="2"/>
      <c r="P121" s="2"/>
      <c r="Q121" s="2"/>
      <c r="R121" s="2"/>
      <c r="S121" s="2"/>
      <c r="T121" s="2"/>
      <c r="U121" s="2"/>
      <c r="V121" s="2"/>
      <c r="W121" s="2"/>
      <c r="X121" s="2"/>
      <c r="Y121" s="2"/>
      <c r="Z121" s="2"/>
    </row>
    <row r="122" ht="33.75" customHeight="1">
      <c r="A122" s="22"/>
      <c r="B122" s="22"/>
      <c r="C122" s="22"/>
      <c r="D122" s="22"/>
      <c r="E122" s="22"/>
      <c r="F122" s="22"/>
      <c r="G122" s="22"/>
      <c r="H122" s="22"/>
      <c r="I122" s="22"/>
      <c r="J122" s="22"/>
      <c r="K122" s="22"/>
      <c r="L122" s="23" t="str">
        <f t="shared" si="1"/>
        <v/>
      </c>
      <c r="M122" s="2"/>
      <c r="N122" s="2"/>
      <c r="O122" s="2"/>
      <c r="P122" s="2"/>
      <c r="Q122" s="2"/>
      <c r="R122" s="2"/>
      <c r="S122" s="2"/>
      <c r="T122" s="2"/>
      <c r="U122" s="2"/>
      <c r="V122" s="2"/>
      <c r="W122" s="2"/>
      <c r="X122" s="2"/>
      <c r="Y122" s="2"/>
      <c r="Z122" s="2"/>
    </row>
    <row r="123" ht="33.75" customHeight="1">
      <c r="A123" s="24"/>
      <c r="B123" s="24"/>
      <c r="C123" s="24"/>
      <c r="D123" s="24"/>
      <c r="E123" s="24"/>
      <c r="F123" s="24"/>
      <c r="G123" s="24"/>
      <c r="H123" s="24"/>
      <c r="I123" s="24"/>
      <c r="J123" s="24"/>
      <c r="K123" s="24"/>
      <c r="L123" s="23" t="str">
        <f t="shared" si="1"/>
        <v/>
      </c>
      <c r="M123" s="2"/>
      <c r="N123" s="2"/>
      <c r="O123" s="2"/>
      <c r="P123" s="2"/>
      <c r="Q123" s="2"/>
      <c r="R123" s="2"/>
      <c r="S123" s="2"/>
      <c r="T123" s="2"/>
      <c r="U123" s="2"/>
      <c r="V123" s="2"/>
      <c r="W123" s="2"/>
      <c r="X123" s="2"/>
      <c r="Y123" s="2"/>
      <c r="Z123" s="2"/>
    </row>
    <row r="124" ht="33.75" customHeight="1">
      <c r="A124" s="22"/>
      <c r="B124" s="22"/>
      <c r="C124" s="22"/>
      <c r="D124" s="22"/>
      <c r="E124" s="22"/>
      <c r="F124" s="22"/>
      <c r="G124" s="22"/>
      <c r="H124" s="22"/>
      <c r="I124" s="22"/>
      <c r="J124" s="22"/>
      <c r="K124" s="22"/>
      <c r="L124" s="23" t="str">
        <f t="shared" si="1"/>
        <v/>
      </c>
      <c r="M124" s="2"/>
      <c r="N124" s="2"/>
      <c r="O124" s="2"/>
      <c r="P124" s="2"/>
      <c r="Q124" s="2"/>
      <c r="R124" s="2"/>
      <c r="S124" s="2"/>
      <c r="T124" s="2"/>
      <c r="U124" s="2"/>
      <c r="V124" s="2"/>
      <c r="W124" s="2"/>
      <c r="X124" s="2"/>
      <c r="Y124" s="2"/>
      <c r="Z124" s="2"/>
    </row>
    <row r="125" ht="33.75" customHeight="1">
      <c r="A125" s="24"/>
      <c r="B125" s="24"/>
      <c r="C125" s="24"/>
      <c r="D125" s="24"/>
      <c r="E125" s="24"/>
      <c r="F125" s="24"/>
      <c r="G125" s="24"/>
      <c r="H125" s="24"/>
      <c r="I125" s="24"/>
      <c r="J125" s="24"/>
      <c r="K125" s="24"/>
      <c r="L125" s="23" t="str">
        <f t="shared" si="1"/>
        <v/>
      </c>
      <c r="M125" s="2"/>
      <c r="N125" s="2"/>
      <c r="O125" s="2"/>
      <c r="P125" s="2"/>
      <c r="Q125" s="2"/>
      <c r="R125" s="2"/>
      <c r="S125" s="2"/>
      <c r="T125" s="2"/>
      <c r="U125" s="2"/>
      <c r="V125" s="2"/>
      <c r="W125" s="2"/>
      <c r="X125" s="2"/>
      <c r="Y125" s="2"/>
      <c r="Z125" s="2"/>
    </row>
    <row r="126" ht="33.75" customHeight="1">
      <c r="A126" s="22"/>
      <c r="B126" s="22"/>
      <c r="C126" s="22"/>
      <c r="D126" s="22"/>
      <c r="E126" s="22"/>
      <c r="F126" s="22"/>
      <c r="G126" s="22"/>
      <c r="H126" s="22"/>
      <c r="I126" s="22"/>
      <c r="J126" s="22"/>
      <c r="K126" s="22"/>
      <c r="L126" s="23" t="str">
        <f t="shared" si="1"/>
        <v/>
      </c>
      <c r="M126" s="2"/>
      <c r="N126" s="2"/>
      <c r="O126" s="2"/>
      <c r="P126" s="2"/>
      <c r="Q126" s="2"/>
      <c r="R126" s="2"/>
      <c r="S126" s="2"/>
      <c r="T126" s="2"/>
      <c r="U126" s="2"/>
      <c r="V126" s="2"/>
      <c r="W126" s="2"/>
      <c r="X126" s="2"/>
      <c r="Y126" s="2"/>
      <c r="Z126" s="2"/>
    </row>
    <row r="127" ht="33.75" customHeight="1">
      <c r="A127" s="24"/>
      <c r="B127" s="24"/>
      <c r="C127" s="24"/>
      <c r="D127" s="24"/>
      <c r="E127" s="24"/>
      <c r="F127" s="24"/>
      <c r="G127" s="24"/>
      <c r="H127" s="24"/>
      <c r="I127" s="24"/>
      <c r="J127" s="24"/>
      <c r="K127" s="24"/>
      <c r="L127" s="23" t="str">
        <f t="shared" si="1"/>
        <v/>
      </c>
      <c r="M127" s="2"/>
      <c r="N127" s="2"/>
      <c r="O127" s="2"/>
      <c r="P127" s="2"/>
      <c r="Q127" s="2"/>
      <c r="R127" s="2"/>
      <c r="S127" s="2"/>
      <c r="T127" s="2"/>
      <c r="U127" s="2"/>
      <c r="V127" s="2"/>
      <c r="W127" s="2"/>
      <c r="X127" s="2"/>
      <c r="Y127" s="2"/>
      <c r="Z127" s="2"/>
    </row>
    <row r="128" ht="33.75" customHeight="1">
      <c r="A128" s="22"/>
      <c r="B128" s="22"/>
      <c r="C128" s="22"/>
      <c r="D128" s="22"/>
      <c r="E128" s="22"/>
      <c r="F128" s="22"/>
      <c r="G128" s="22"/>
      <c r="H128" s="22"/>
      <c r="I128" s="22"/>
      <c r="J128" s="22"/>
      <c r="K128" s="22"/>
      <c r="L128" s="23" t="str">
        <f t="shared" si="1"/>
        <v/>
      </c>
      <c r="M128" s="2"/>
      <c r="N128" s="2"/>
      <c r="O128" s="2"/>
      <c r="P128" s="2"/>
      <c r="Q128" s="2"/>
      <c r="R128" s="2"/>
      <c r="S128" s="2"/>
      <c r="T128" s="2"/>
      <c r="U128" s="2"/>
      <c r="V128" s="2"/>
      <c r="W128" s="2"/>
      <c r="X128" s="2"/>
      <c r="Y128" s="2"/>
      <c r="Z128" s="2"/>
    </row>
    <row r="129" ht="33.75" customHeight="1">
      <c r="A129" s="24"/>
      <c r="B129" s="24"/>
      <c r="C129" s="24"/>
      <c r="D129" s="24"/>
      <c r="E129" s="24"/>
      <c r="F129" s="24"/>
      <c r="G129" s="24"/>
      <c r="H129" s="24"/>
      <c r="I129" s="24"/>
      <c r="J129" s="24"/>
      <c r="K129" s="24"/>
      <c r="L129" s="23" t="str">
        <f t="shared" si="1"/>
        <v/>
      </c>
      <c r="M129" s="2"/>
      <c r="N129" s="2"/>
      <c r="O129" s="2"/>
      <c r="P129" s="2"/>
      <c r="Q129" s="2"/>
      <c r="R129" s="2"/>
      <c r="S129" s="2"/>
      <c r="T129" s="2"/>
      <c r="U129" s="2"/>
      <c r="V129" s="2"/>
      <c r="W129" s="2"/>
      <c r="X129" s="2"/>
      <c r="Y129" s="2"/>
      <c r="Z129" s="2"/>
    </row>
    <row r="130" ht="33.75" customHeight="1">
      <c r="A130" s="22"/>
      <c r="B130" s="22"/>
      <c r="C130" s="22"/>
      <c r="D130" s="22"/>
      <c r="E130" s="22"/>
      <c r="F130" s="22"/>
      <c r="G130" s="22"/>
      <c r="H130" s="22"/>
      <c r="I130" s="22"/>
      <c r="J130" s="22"/>
      <c r="K130" s="22"/>
      <c r="L130" s="23" t="str">
        <f t="shared" si="1"/>
        <v/>
      </c>
      <c r="M130" s="2"/>
      <c r="N130" s="2"/>
      <c r="O130" s="2"/>
      <c r="P130" s="2"/>
      <c r="Q130" s="2"/>
      <c r="R130" s="2"/>
      <c r="S130" s="2"/>
      <c r="T130" s="2"/>
      <c r="U130" s="2"/>
      <c r="V130" s="2"/>
      <c r="W130" s="2"/>
      <c r="X130" s="2"/>
      <c r="Y130" s="2"/>
      <c r="Z130" s="2"/>
    </row>
    <row r="131" ht="33.75" customHeight="1">
      <c r="A131" s="24"/>
      <c r="B131" s="24"/>
      <c r="C131" s="24"/>
      <c r="D131" s="24"/>
      <c r="E131" s="24"/>
      <c r="F131" s="24"/>
      <c r="G131" s="24"/>
      <c r="H131" s="24"/>
      <c r="I131" s="24"/>
      <c r="J131" s="24"/>
      <c r="K131" s="24"/>
      <c r="L131" s="23" t="str">
        <f t="shared" si="1"/>
        <v/>
      </c>
      <c r="M131" s="2"/>
      <c r="N131" s="2"/>
      <c r="O131" s="2"/>
      <c r="P131" s="2"/>
      <c r="Q131" s="2"/>
      <c r="R131" s="2"/>
      <c r="S131" s="2"/>
      <c r="T131" s="2"/>
      <c r="U131" s="2"/>
      <c r="V131" s="2"/>
      <c r="W131" s="2"/>
      <c r="X131" s="2"/>
      <c r="Y131" s="2"/>
      <c r="Z131" s="2"/>
    </row>
    <row r="132" ht="33.75" customHeight="1">
      <c r="A132" s="22"/>
      <c r="B132" s="22"/>
      <c r="C132" s="22"/>
      <c r="D132" s="22"/>
      <c r="E132" s="22"/>
      <c r="F132" s="22"/>
      <c r="G132" s="22"/>
      <c r="H132" s="22"/>
      <c r="I132" s="22"/>
      <c r="J132" s="22"/>
      <c r="K132" s="22"/>
      <c r="L132" s="23" t="str">
        <f t="shared" si="1"/>
        <v/>
      </c>
      <c r="M132" s="2"/>
      <c r="N132" s="2"/>
      <c r="O132" s="2"/>
      <c r="P132" s="2"/>
      <c r="Q132" s="2"/>
      <c r="R132" s="2"/>
      <c r="S132" s="2"/>
      <c r="T132" s="2"/>
      <c r="U132" s="2"/>
      <c r="V132" s="2"/>
      <c r="W132" s="2"/>
      <c r="X132" s="2"/>
      <c r="Y132" s="2"/>
      <c r="Z132" s="2"/>
    </row>
    <row r="133" ht="33.75" customHeight="1">
      <c r="A133" s="24"/>
      <c r="B133" s="24"/>
      <c r="C133" s="24"/>
      <c r="D133" s="24"/>
      <c r="E133" s="24"/>
      <c r="F133" s="24"/>
      <c r="G133" s="24"/>
      <c r="H133" s="24"/>
      <c r="I133" s="24"/>
      <c r="J133" s="24"/>
      <c r="K133" s="24"/>
      <c r="L133" s="23" t="str">
        <f t="shared" si="1"/>
        <v/>
      </c>
      <c r="M133" s="2"/>
      <c r="N133" s="2"/>
      <c r="O133" s="2"/>
      <c r="P133" s="2"/>
      <c r="Q133" s="2"/>
      <c r="R133" s="2"/>
      <c r="S133" s="2"/>
      <c r="T133" s="2"/>
      <c r="U133" s="2"/>
      <c r="V133" s="2"/>
      <c r="W133" s="2"/>
      <c r="X133" s="2"/>
      <c r="Y133" s="2"/>
      <c r="Z133" s="2"/>
    </row>
    <row r="134" ht="33.75" customHeight="1">
      <c r="A134" s="22"/>
      <c r="B134" s="22"/>
      <c r="C134" s="22"/>
      <c r="D134" s="22"/>
      <c r="E134" s="22"/>
      <c r="F134" s="22"/>
      <c r="G134" s="22"/>
      <c r="H134" s="22"/>
      <c r="I134" s="22"/>
      <c r="J134" s="22"/>
      <c r="K134" s="22"/>
      <c r="L134" s="23" t="str">
        <f t="shared" si="1"/>
        <v/>
      </c>
      <c r="M134" s="2"/>
      <c r="N134" s="2"/>
      <c r="O134" s="2"/>
      <c r="P134" s="2"/>
      <c r="Q134" s="2"/>
      <c r="R134" s="2"/>
      <c r="S134" s="2"/>
      <c r="T134" s="2"/>
      <c r="U134" s="2"/>
      <c r="V134" s="2"/>
      <c r="W134" s="2"/>
      <c r="X134" s="2"/>
      <c r="Y134" s="2"/>
      <c r="Z134" s="2"/>
    </row>
    <row r="135" ht="33.75" customHeight="1">
      <c r="A135" s="24"/>
      <c r="B135" s="24"/>
      <c r="C135" s="24"/>
      <c r="D135" s="24"/>
      <c r="E135" s="24"/>
      <c r="F135" s="24"/>
      <c r="G135" s="24"/>
      <c r="H135" s="24"/>
      <c r="I135" s="24"/>
      <c r="J135" s="24"/>
      <c r="K135" s="24"/>
      <c r="L135" s="23" t="str">
        <f t="shared" si="1"/>
        <v/>
      </c>
      <c r="M135" s="2"/>
      <c r="N135" s="2"/>
      <c r="O135" s="2"/>
      <c r="P135" s="2"/>
      <c r="Q135" s="2"/>
      <c r="R135" s="2"/>
      <c r="S135" s="2"/>
      <c r="T135" s="2"/>
      <c r="U135" s="2"/>
      <c r="V135" s="2"/>
      <c r="W135" s="2"/>
      <c r="X135" s="2"/>
      <c r="Y135" s="2"/>
      <c r="Z135" s="2"/>
    </row>
    <row r="136" ht="33.75" customHeight="1">
      <c r="A136" s="22"/>
      <c r="B136" s="22"/>
      <c r="C136" s="22"/>
      <c r="D136" s="22"/>
      <c r="E136" s="22"/>
      <c r="F136" s="22"/>
      <c r="G136" s="22"/>
      <c r="H136" s="22"/>
      <c r="I136" s="22"/>
      <c r="J136" s="22"/>
      <c r="K136" s="22"/>
      <c r="L136" s="23" t="str">
        <f t="shared" si="1"/>
        <v/>
      </c>
      <c r="M136" s="2"/>
      <c r="N136" s="2"/>
      <c r="O136" s="2"/>
      <c r="P136" s="2"/>
      <c r="Q136" s="2"/>
      <c r="R136" s="2"/>
      <c r="S136" s="2"/>
      <c r="T136" s="2"/>
      <c r="U136" s="2"/>
      <c r="V136" s="2"/>
      <c r="W136" s="2"/>
      <c r="X136" s="2"/>
      <c r="Y136" s="2"/>
      <c r="Z136" s="2"/>
    </row>
    <row r="137" ht="33.75" customHeight="1">
      <c r="A137" s="24"/>
      <c r="B137" s="24"/>
      <c r="C137" s="24"/>
      <c r="D137" s="24"/>
      <c r="E137" s="24"/>
      <c r="F137" s="24"/>
      <c r="G137" s="24"/>
      <c r="H137" s="24"/>
      <c r="I137" s="24"/>
      <c r="J137" s="24"/>
      <c r="K137" s="24"/>
      <c r="L137" s="23" t="str">
        <f t="shared" si="1"/>
        <v/>
      </c>
      <c r="M137" s="2"/>
      <c r="N137" s="2"/>
      <c r="O137" s="2"/>
      <c r="P137" s="2"/>
      <c r="Q137" s="2"/>
      <c r="R137" s="2"/>
      <c r="S137" s="2"/>
      <c r="T137" s="2"/>
      <c r="U137" s="2"/>
      <c r="V137" s="2"/>
      <c r="W137" s="2"/>
      <c r="X137" s="2"/>
      <c r="Y137" s="2"/>
      <c r="Z137" s="2"/>
    </row>
    <row r="138" ht="33.75" customHeight="1">
      <c r="A138" s="22"/>
      <c r="B138" s="22"/>
      <c r="C138" s="22"/>
      <c r="D138" s="22"/>
      <c r="E138" s="22"/>
      <c r="F138" s="22"/>
      <c r="G138" s="22"/>
      <c r="H138" s="22"/>
      <c r="I138" s="22"/>
      <c r="J138" s="22"/>
      <c r="K138" s="22"/>
      <c r="L138" s="23" t="str">
        <f t="shared" si="1"/>
        <v/>
      </c>
      <c r="M138" s="2"/>
      <c r="N138" s="2"/>
      <c r="O138" s="2"/>
      <c r="P138" s="2"/>
      <c r="Q138" s="2"/>
      <c r="R138" s="2"/>
      <c r="S138" s="2"/>
      <c r="T138" s="2"/>
      <c r="U138" s="2"/>
      <c r="V138" s="2"/>
      <c r="W138" s="2"/>
      <c r="X138" s="2"/>
      <c r="Y138" s="2"/>
      <c r="Z138" s="2"/>
    </row>
    <row r="139" ht="33.75" customHeight="1">
      <c r="A139" s="24"/>
      <c r="B139" s="24"/>
      <c r="C139" s="24"/>
      <c r="D139" s="24"/>
      <c r="E139" s="24"/>
      <c r="F139" s="24"/>
      <c r="G139" s="24"/>
      <c r="H139" s="24"/>
      <c r="I139" s="24"/>
      <c r="J139" s="24"/>
      <c r="K139" s="24"/>
      <c r="L139" s="23" t="str">
        <f t="shared" si="1"/>
        <v/>
      </c>
      <c r="M139" s="2"/>
      <c r="N139" s="2"/>
      <c r="O139" s="2"/>
      <c r="P139" s="2"/>
      <c r="Q139" s="2"/>
      <c r="R139" s="2"/>
      <c r="S139" s="2"/>
      <c r="T139" s="2"/>
      <c r="U139" s="2"/>
      <c r="V139" s="2"/>
      <c r="W139" s="2"/>
      <c r="X139" s="2"/>
      <c r="Y139" s="2"/>
      <c r="Z139" s="2"/>
    </row>
    <row r="140" ht="33.75" customHeight="1">
      <c r="A140" s="22"/>
      <c r="B140" s="22"/>
      <c r="C140" s="22"/>
      <c r="D140" s="22"/>
      <c r="E140" s="22"/>
      <c r="F140" s="22"/>
      <c r="G140" s="22"/>
      <c r="H140" s="22"/>
      <c r="I140" s="22"/>
      <c r="J140" s="22"/>
      <c r="K140" s="22"/>
      <c r="L140" s="23" t="str">
        <f t="shared" si="1"/>
        <v/>
      </c>
      <c r="M140" s="2"/>
      <c r="N140" s="2"/>
      <c r="O140" s="2"/>
      <c r="P140" s="2"/>
      <c r="Q140" s="2"/>
      <c r="R140" s="2"/>
      <c r="S140" s="2"/>
      <c r="T140" s="2"/>
      <c r="U140" s="2"/>
      <c r="V140" s="2"/>
      <c r="W140" s="2"/>
      <c r="X140" s="2"/>
      <c r="Y140" s="2"/>
      <c r="Z140" s="2"/>
    </row>
    <row r="141" ht="33.75" customHeight="1">
      <c r="A141" s="24"/>
      <c r="B141" s="24"/>
      <c r="C141" s="24"/>
      <c r="D141" s="24"/>
      <c r="E141" s="24"/>
      <c r="F141" s="24"/>
      <c r="G141" s="24"/>
      <c r="H141" s="24"/>
      <c r="I141" s="24"/>
      <c r="J141" s="24"/>
      <c r="K141" s="24"/>
      <c r="L141" s="23" t="str">
        <f t="shared" si="1"/>
        <v/>
      </c>
      <c r="M141" s="2"/>
      <c r="N141" s="2"/>
      <c r="O141" s="2"/>
      <c r="P141" s="2"/>
      <c r="Q141" s="2"/>
      <c r="R141" s="2"/>
      <c r="S141" s="2"/>
      <c r="T141" s="2"/>
      <c r="U141" s="2"/>
      <c r="V141" s="2"/>
      <c r="W141" s="2"/>
      <c r="X141" s="2"/>
      <c r="Y141" s="2"/>
      <c r="Z141" s="2"/>
    </row>
    <row r="142" ht="33.75" customHeight="1">
      <c r="A142" s="22"/>
      <c r="B142" s="22"/>
      <c r="C142" s="22"/>
      <c r="D142" s="22"/>
      <c r="E142" s="22"/>
      <c r="F142" s="22"/>
      <c r="G142" s="22"/>
      <c r="H142" s="22"/>
      <c r="I142" s="22"/>
      <c r="J142" s="22"/>
      <c r="K142" s="22"/>
      <c r="L142" s="23" t="str">
        <f t="shared" si="1"/>
        <v/>
      </c>
      <c r="M142" s="2"/>
      <c r="N142" s="2"/>
      <c r="O142" s="2"/>
      <c r="P142" s="2"/>
      <c r="Q142" s="2"/>
      <c r="R142" s="2"/>
      <c r="S142" s="2"/>
      <c r="T142" s="2"/>
      <c r="U142" s="2"/>
      <c r="V142" s="2"/>
      <c r="W142" s="2"/>
      <c r="X142" s="2"/>
      <c r="Y142" s="2"/>
      <c r="Z142" s="2"/>
    </row>
    <row r="143" ht="33.75" customHeight="1">
      <c r="A143" s="24"/>
      <c r="B143" s="24"/>
      <c r="C143" s="24"/>
      <c r="D143" s="24"/>
      <c r="E143" s="24"/>
      <c r="F143" s="24"/>
      <c r="G143" s="24"/>
      <c r="H143" s="24"/>
      <c r="I143" s="24"/>
      <c r="J143" s="24"/>
      <c r="K143" s="24"/>
      <c r="L143" s="23" t="str">
        <f t="shared" si="1"/>
        <v/>
      </c>
      <c r="M143" s="2"/>
      <c r="N143" s="2"/>
      <c r="O143" s="2"/>
      <c r="P143" s="2"/>
      <c r="Q143" s="2"/>
      <c r="R143" s="2"/>
      <c r="S143" s="2"/>
      <c r="T143" s="2"/>
      <c r="U143" s="2"/>
      <c r="V143" s="2"/>
      <c r="W143" s="2"/>
      <c r="X143" s="2"/>
      <c r="Y143" s="2"/>
      <c r="Z143" s="2"/>
    </row>
    <row r="144" ht="33.75" customHeight="1">
      <c r="A144" s="22"/>
      <c r="B144" s="22"/>
      <c r="C144" s="22"/>
      <c r="D144" s="22"/>
      <c r="E144" s="22"/>
      <c r="F144" s="22"/>
      <c r="G144" s="22"/>
      <c r="H144" s="22"/>
      <c r="I144" s="22"/>
      <c r="J144" s="22"/>
      <c r="K144" s="22"/>
      <c r="L144" s="23" t="str">
        <f t="shared" si="1"/>
        <v/>
      </c>
      <c r="M144" s="2"/>
      <c r="N144" s="2"/>
      <c r="O144" s="2"/>
      <c r="P144" s="2"/>
      <c r="Q144" s="2"/>
      <c r="R144" s="2"/>
      <c r="S144" s="2"/>
      <c r="T144" s="2"/>
      <c r="U144" s="2"/>
      <c r="V144" s="2"/>
      <c r="W144" s="2"/>
      <c r="X144" s="2"/>
      <c r="Y144" s="2"/>
      <c r="Z144" s="2"/>
    </row>
    <row r="145" ht="33.75" customHeight="1">
      <c r="A145" s="24"/>
      <c r="B145" s="24"/>
      <c r="C145" s="24"/>
      <c r="D145" s="24"/>
      <c r="E145" s="24"/>
      <c r="F145" s="24"/>
      <c r="G145" s="24"/>
      <c r="H145" s="24"/>
      <c r="I145" s="24"/>
      <c r="J145" s="24"/>
      <c r="K145" s="24"/>
      <c r="L145" s="23" t="str">
        <f t="shared" si="1"/>
        <v/>
      </c>
      <c r="M145" s="2"/>
      <c r="N145" s="2"/>
      <c r="O145" s="2"/>
      <c r="P145" s="2"/>
      <c r="Q145" s="2"/>
      <c r="R145" s="2"/>
      <c r="S145" s="2"/>
      <c r="T145" s="2"/>
      <c r="U145" s="2"/>
      <c r="V145" s="2"/>
      <c r="W145" s="2"/>
      <c r="X145" s="2"/>
      <c r="Y145" s="2"/>
      <c r="Z145" s="2"/>
    </row>
    <row r="146" ht="33.75" customHeight="1">
      <c r="A146" s="22"/>
      <c r="B146" s="22"/>
      <c r="C146" s="22"/>
      <c r="D146" s="22"/>
      <c r="E146" s="22"/>
      <c r="F146" s="22"/>
      <c r="G146" s="22"/>
      <c r="H146" s="22"/>
      <c r="I146" s="22"/>
      <c r="J146" s="22"/>
      <c r="K146" s="22"/>
      <c r="L146" s="23" t="str">
        <f t="shared" si="1"/>
        <v/>
      </c>
      <c r="M146" s="2"/>
      <c r="N146" s="2"/>
      <c r="O146" s="2"/>
      <c r="P146" s="2"/>
      <c r="Q146" s="2"/>
      <c r="R146" s="2"/>
      <c r="S146" s="2"/>
      <c r="T146" s="2"/>
      <c r="U146" s="2"/>
      <c r="V146" s="2"/>
      <c r="W146" s="2"/>
      <c r="X146" s="2"/>
      <c r="Y146" s="2"/>
      <c r="Z146" s="2"/>
    </row>
    <row r="147" ht="33.75" customHeight="1">
      <c r="A147" s="24"/>
      <c r="B147" s="24"/>
      <c r="C147" s="24"/>
      <c r="D147" s="24"/>
      <c r="E147" s="24"/>
      <c r="F147" s="24"/>
      <c r="G147" s="24"/>
      <c r="H147" s="24"/>
      <c r="I147" s="24"/>
      <c r="J147" s="24"/>
      <c r="K147" s="24"/>
      <c r="L147" s="23" t="str">
        <f t="shared" si="1"/>
        <v/>
      </c>
      <c r="M147" s="2"/>
      <c r="N147" s="2"/>
      <c r="O147" s="2"/>
      <c r="P147" s="2"/>
      <c r="Q147" s="2"/>
      <c r="R147" s="2"/>
      <c r="S147" s="2"/>
      <c r="T147" s="2"/>
      <c r="U147" s="2"/>
      <c r="V147" s="2"/>
      <c r="W147" s="2"/>
      <c r="X147" s="2"/>
      <c r="Y147" s="2"/>
      <c r="Z147" s="2"/>
    </row>
    <row r="148" ht="33.75" customHeight="1">
      <c r="A148" s="22"/>
      <c r="B148" s="22"/>
      <c r="C148" s="22"/>
      <c r="D148" s="22"/>
      <c r="E148" s="22"/>
      <c r="F148" s="22"/>
      <c r="G148" s="22"/>
      <c r="H148" s="22"/>
      <c r="I148" s="22"/>
      <c r="J148" s="22"/>
      <c r="K148" s="22"/>
      <c r="L148" s="23" t="str">
        <f t="shared" si="1"/>
        <v/>
      </c>
      <c r="M148" s="2"/>
      <c r="N148" s="2"/>
      <c r="O148" s="2"/>
      <c r="P148" s="2"/>
      <c r="Q148" s="2"/>
      <c r="R148" s="2"/>
      <c r="S148" s="2"/>
      <c r="T148" s="2"/>
      <c r="U148" s="2"/>
      <c r="V148" s="2"/>
      <c r="W148" s="2"/>
      <c r="X148" s="2"/>
      <c r="Y148" s="2"/>
      <c r="Z148" s="2"/>
    </row>
    <row r="149" ht="33.75" customHeight="1">
      <c r="A149" s="24"/>
      <c r="B149" s="24"/>
      <c r="C149" s="24"/>
      <c r="D149" s="24"/>
      <c r="E149" s="24"/>
      <c r="F149" s="24"/>
      <c r="G149" s="24"/>
      <c r="H149" s="24"/>
      <c r="I149" s="24"/>
      <c r="J149" s="24"/>
      <c r="K149" s="24"/>
      <c r="L149" s="23" t="str">
        <f t="shared" si="1"/>
        <v/>
      </c>
      <c r="M149" s="2"/>
      <c r="N149" s="2"/>
      <c r="O149" s="2"/>
      <c r="P149" s="2"/>
      <c r="Q149" s="2"/>
      <c r="R149" s="2"/>
      <c r="S149" s="2"/>
      <c r="T149" s="2"/>
      <c r="U149" s="2"/>
      <c r="V149" s="2"/>
      <c r="W149" s="2"/>
      <c r="X149" s="2"/>
      <c r="Y149" s="2"/>
      <c r="Z149" s="2"/>
    </row>
    <row r="150" ht="33.75" customHeight="1">
      <c r="A150" s="22"/>
      <c r="B150" s="22"/>
      <c r="C150" s="22"/>
      <c r="D150" s="22"/>
      <c r="E150" s="22"/>
      <c r="F150" s="22"/>
      <c r="G150" s="22"/>
      <c r="H150" s="22"/>
      <c r="I150" s="22"/>
      <c r="J150" s="22"/>
      <c r="K150" s="22"/>
      <c r="L150" s="23" t="str">
        <f t="shared" si="1"/>
        <v/>
      </c>
      <c r="M150" s="2"/>
      <c r="N150" s="2"/>
      <c r="O150" s="2"/>
      <c r="P150" s="2"/>
      <c r="Q150" s="2"/>
      <c r="R150" s="2"/>
      <c r="S150" s="2"/>
      <c r="T150" s="2"/>
      <c r="U150" s="2"/>
      <c r="V150" s="2"/>
      <c r="W150" s="2"/>
      <c r="X150" s="2"/>
      <c r="Y150" s="2"/>
      <c r="Z150" s="2"/>
    </row>
    <row r="151" ht="33.75" customHeight="1">
      <c r="A151" s="24"/>
      <c r="B151" s="24"/>
      <c r="C151" s="24"/>
      <c r="D151" s="24"/>
      <c r="E151" s="24"/>
      <c r="F151" s="24"/>
      <c r="G151" s="24"/>
      <c r="H151" s="24"/>
      <c r="I151" s="24"/>
      <c r="J151" s="24"/>
      <c r="K151" s="24"/>
      <c r="L151" s="23" t="str">
        <f t="shared" si="1"/>
        <v/>
      </c>
      <c r="M151" s="2"/>
      <c r="N151" s="2"/>
      <c r="O151" s="2"/>
      <c r="P151" s="2"/>
      <c r="Q151" s="2"/>
      <c r="R151" s="2"/>
      <c r="S151" s="2"/>
      <c r="T151" s="2"/>
      <c r="U151" s="2"/>
      <c r="V151" s="2"/>
      <c r="W151" s="2"/>
      <c r="X151" s="2"/>
      <c r="Y151" s="2"/>
      <c r="Z151" s="2"/>
    </row>
    <row r="152" ht="33.75" customHeight="1">
      <c r="A152" s="22"/>
      <c r="B152" s="22"/>
      <c r="C152" s="22"/>
      <c r="D152" s="22"/>
      <c r="E152" s="22"/>
      <c r="F152" s="22"/>
      <c r="G152" s="22"/>
      <c r="H152" s="22"/>
      <c r="I152" s="22"/>
      <c r="J152" s="22"/>
      <c r="K152" s="22"/>
      <c r="L152" s="23" t="str">
        <f t="shared" si="1"/>
        <v/>
      </c>
      <c r="M152" s="2"/>
      <c r="N152" s="2"/>
      <c r="O152" s="2"/>
      <c r="P152" s="2"/>
      <c r="Q152" s="2"/>
      <c r="R152" s="2"/>
      <c r="S152" s="2"/>
      <c r="T152" s="2"/>
      <c r="U152" s="2"/>
      <c r="V152" s="2"/>
      <c r="W152" s="2"/>
      <c r="X152" s="2"/>
      <c r="Y152" s="2"/>
      <c r="Z152" s="2"/>
    </row>
    <row r="153" ht="33.75" customHeight="1">
      <c r="A153" s="24"/>
      <c r="B153" s="24"/>
      <c r="C153" s="24"/>
      <c r="D153" s="24"/>
      <c r="E153" s="24"/>
      <c r="F153" s="24"/>
      <c r="G153" s="24"/>
      <c r="H153" s="24"/>
      <c r="I153" s="24"/>
      <c r="J153" s="24"/>
      <c r="K153" s="24"/>
      <c r="L153" s="23" t="str">
        <f t="shared" si="1"/>
        <v/>
      </c>
      <c r="M153" s="2"/>
      <c r="N153" s="2"/>
      <c r="O153" s="2"/>
      <c r="P153" s="2"/>
      <c r="Q153" s="2"/>
      <c r="R153" s="2"/>
      <c r="S153" s="2"/>
      <c r="T153" s="2"/>
      <c r="U153" s="2"/>
      <c r="V153" s="2"/>
      <c r="W153" s="2"/>
      <c r="X153" s="2"/>
      <c r="Y153" s="2"/>
      <c r="Z153" s="2"/>
    </row>
    <row r="154" ht="33.75" customHeight="1">
      <c r="A154" s="22"/>
      <c r="B154" s="22"/>
      <c r="C154" s="22"/>
      <c r="D154" s="22"/>
      <c r="E154" s="22"/>
      <c r="F154" s="22"/>
      <c r="G154" s="22"/>
      <c r="H154" s="22"/>
      <c r="I154" s="22"/>
      <c r="J154" s="22"/>
      <c r="K154" s="22"/>
      <c r="L154" s="23" t="str">
        <f t="shared" si="1"/>
        <v/>
      </c>
      <c r="M154" s="2"/>
      <c r="N154" s="2"/>
      <c r="O154" s="2"/>
      <c r="P154" s="2"/>
      <c r="Q154" s="2"/>
      <c r="R154" s="2"/>
      <c r="S154" s="2"/>
      <c r="T154" s="2"/>
      <c r="U154" s="2"/>
      <c r="V154" s="2"/>
      <c r="W154" s="2"/>
      <c r="X154" s="2"/>
      <c r="Y154" s="2"/>
      <c r="Z154" s="2"/>
    </row>
    <row r="155" ht="33.75" customHeight="1">
      <c r="A155" s="24"/>
      <c r="B155" s="24"/>
      <c r="C155" s="24"/>
      <c r="D155" s="24"/>
      <c r="E155" s="24"/>
      <c r="F155" s="24"/>
      <c r="G155" s="24"/>
      <c r="H155" s="24"/>
      <c r="I155" s="24"/>
      <c r="J155" s="24"/>
      <c r="K155" s="24"/>
      <c r="L155" s="23" t="str">
        <f t="shared" si="1"/>
        <v/>
      </c>
      <c r="M155" s="2"/>
      <c r="N155" s="2"/>
      <c r="O155" s="2"/>
      <c r="P155" s="2"/>
      <c r="Q155" s="2"/>
      <c r="R155" s="2"/>
      <c r="S155" s="2"/>
      <c r="T155" s="2"/>
      <c r="U155" s="2"/>
      <c r="V155" s="2"/>
      <c r="W155" s="2"/>
      <c r="X155" s="2"/>
      <c r="Y155" s="2"/>
      <c r="Z155" s="2"/>
    </row>
    <row r="156" ht="33.75" customHeight="1">
      <c r="A156" s="22"/>
      <c r="B156" s="22"/>
      <c r="C156" s="22"/>
      <c r="D156" s="22"/>
      <c r="E156" s="22"/>
      <c r="F156" s="22"/>
      <c r="G156" s="22"/>
      <c r="H156" s="22"/>
      <c r="I156" s="22"/>
      <c r="J156" s="22"/>
      <c r="K156" s="22"/>
      <c r="L156" s="23" t="str">
        <f t="shared" si="1"/>
        <v/>
      </c>
      <c r="M156" s="2"/>
      <c r="N156" s="2"/>
      <c r="O156" s="2"/>
      <c r="P156" s="2"/>
      <c r="Q156" s="2"/>
      <c r="R156" s="2"/>
      <c r="S156" s="2"/>
      <c r="T156" s="2"/>
      <c r="U156" s="2"/>
      <c r="V156" s="2"/>
      <c r="W156" s="2"/>
      <c r="X156" s="2"/>
      <c r="Y156" s="2"/>
      <c r="Z156" s="2"/>
    </row>
    <row r="157" ht="33.75" customHeight="1">
      <c r="A157" s="24"/>
      <c r="B157" s="24"/>
      <c r="C157" s="24"/>
      <c r="D157" s="24"/>
      <c r="E157" s="24"/>
      <c r="F157" s="24"/>
      <c r="G157" s="24"/>
      <c r="H157" s="24"/>
      <c r="I157" s="24"/>
      <c r="J157" s="24"/>
      <c r="K157" s="24"/>
      <c r="L157" s="23" t="str">
        <f t="shared" si="1"/>
        <v/>
      </c>
      <c r="M157" s="2"/>
      <c r="N157" s="2"/>
      <c r="O157" s="2"/>
      <c r="P157" s="2"/>
      <c r="Q157" s="2"/>
      <c r="R157" s="2"/>
      <c r="S157" s="2"/>
      <c r="T157" s="2"/>
      <c r="U157" s="2"/>
      <c r="V157" s="2"/>
      <c r="W157" s="2"/>
      <c r="X157" s="2"/>
      <c r="Y157" s="2"/>
      <c r="Z157" s="2"/>
    </row>
    <row r="158" ht="33.75" customHeight="1">
      <c r="A158" s="22"/>
      <c r="B158" s="22"/>
      <c r="C158" s="22"/>
      <c r="D158" s="22"/>
      <c r="E158" s="22"/>
      <c r="F158" s="22"/>
      <c r="G158" s="22"/>
      <c r="H158" s="22"/>
      <c r="I158" s="22"/>
      <c r="J158" s="22"/>
      <c r="K158" s="22"/>
      <c r="L158" s="23" t="str">
        <f t="shared" si="1"/>
        <v/>
      </c>
      <c r="M158" s="2"/>
      <c r="N158" s="2"/>
      <c r="O158" s="2"/>
      <c r="P158" s="2"/>
      <c r="Q158" s="2"/>
      <c r="R158" s="2"/>
      <c r="S158" s="2"/>
      <c r="T158" s="2"/>
      <c r="U158" s="2"/>
      <c r="V158" s="2"/>
      <c r="W158" s="2"/>
      <c r="X158" s="2"/>
      <c r="Y158" s="2"/>
      <c r="Z158" s="2"/>
    </row>
    <row r="159" ht="33.75" customHeight="1">
      <c r="A159" s="24"/>
      <c r="B159" s="24"/>
      <c r="C159" s="24"/>
      <c r="D159" s="24"/>
      <c r="E159" s="24"/>
      <c r="F159" s="24"/>
      <c r="G159" s="24"/>
      <c r="H159" s="24"/>
      <c r="I159" s="24"/>
      <c r="J159" s="24"/>
      <c r="K159" s="24"/>
      <c r="L159" s="23" t="str">
        <f t="shared" si="1"/>
        <v/>
      </c>
      <c r="M159" s="2"/>
      <c r="N159" s="2"/>
      <c r="O159" s="2"/>
      <c r="P159" s="2"/>
      <c r="Q159" s="2"/>
      <c r="R159" s="2"/>
      <c r="S159" s="2"/>
      <c r="T159" s="2"/>
      <c r="U159" s="2"/>
      <c r="V159" s="2"/>
      <c r="W159" s="2"/>
      <c r="X159" s="2"/>
      <c r="Y159" s="2"/>
      <c r="Z159" s="2"/>
    </row>
    <row r="160" ht="33.75" customHeight="1">
      <c r="A160" s="22"/>
      <c r="B160" s="22"/>
      <c r="C160" s="22"/>
      <c r="D160" s="22"/>
      <c r="E160" s="22"/>
      <c r="F160" s="22"/>
      <c r="G160" s="22"/>
      <c r="H160" s="22"/>
      <c r="I160" s="22"/>
      <c r="J160" s="22"/>
      <c r="K160" s="22"/>
      <c r="L160" s="23" t="str">
        <f t="shared" si="1"/>
        <v/>
      </c>
      <c r="M160" s="2"/>
      <c r="N160" s="2"/>
      <c r="O160" s="2"/>
      <c r="P160" s="2"/>
      <c r="Q160" s="2"/>
      <c r="R160" s="2"/>
      <c r="S160" s="2"/>
      <c r="T160" s="2"/>
      <c r="U160" s="2"/>
      <c r="V160" s="2"/>
      <c r="W160" s="2"/>
      <c r="X160" s="2"/>
      <c r="Y160" s="2"/>
      <c r="Z160" s="2"/>
    </row>
    <row r="161" ht="33.75" customHeight="1">
      <c r="A161" s="24"/>
      <c r="B161" s="24"/>
      <c r="C161" s="24"/>
      <c r="D161" s="24"/>
      <c r="E161" s="24"/>
      <c r="F161" s="24"/>
      <c r="G161" s="24"/>
      <c r="H161" s="24"/>
      <c r="I161" s="24"/>
      <c r="J161" s="24"/>
      <c r="K161" s="24"/>
      <c r="L161" s="23" t="str">
        <f t="shared" si="1"/>
        <v/>
      </c>
      <c r="M161" s="2"/>
      <c r="N161" s="2"/>
      <c r="O161" s="2"/>
      <c r="P161" s="2"/>
      <c r="Q161" s="2"/>
      <c r="R161" s="2"/>
      <c r="S161" s="2"/>
      <c r="T161" s="2"/>
      <c r="U161" s="2"/>
      <c r="V161" s="2"/>
      <c r="W161" s="2"/>
      <c r="X161" s="2"/>
      <c r="Y161" s="2"/>
      <c r="Z161" s="2"/>
    </row>
    <row r="162" ht="33.75" customHeight="1">
      <c r="A162" s="22"/>
      <c r="B162" s="22"/>
      <c r="C162" s="22"/>
      <c r="D162" s="22"/>
      <c r="E162" s="22"/>
      <c r="F162" s="22"/>
      <c r="G162" s="22"/>
      <c r="H162" s="22"/>
      <c r="I162" s="22"/>
      <c r="J162" s="22"/>
      <c r="K162" s="22"/>
      <c r="L162" s="23" t="str">
        <f t="shared" si="1"/>
        <v/>
      </c>
      <c r="M162" s="2"/>
      <c r="N162" s="2"/>
      <c r="O162" s="2"/>
      <c r="P162" s="2"/>
      <c r="Q162" s="2"/>
      <c r="R162" s="2"/>
      <c r="S162" s="2"/>
      <c r="T162" s="2"/>
      <c r="U162" s="2"/>
      <c r="V162" s="2"/>
      <c r="W162" s="2"/>
      <c r="X162" s="2"/>
      <c r="Y162" s="2"/>
      <c r="Z162" s="2"/>
    </row>
    <row r="163" ht="33.75" customHeight="1">
      <c r="A163" s="24"/>
      <c r="B163" s="24"/>
      <c r="C163" s="24"/>
      <c r="D163" s="24"/>
      <c r="E163" s="24"/>
      <c r="F163" s="24"/>
      <c r="G163" s="24"/>
      <c r="H163" s="24"/>
      <c r="I163" s="24"/>
      <c r="J163" s="24"/>
      <c r="K163" s="24"/>
      <c r="L163" s="23" t="str">
        <f t="shared" si="1"/>
        <v/>
      </c>
      <c r="M163" s="2"/>
      <c r="N163" s="2"/>
      <c r="O163" s="2"/>
      <c r="P163" s="2"/>
      <c r="Q163" s="2"/>
      <c r="R163" s="2"/>
      <c r="S163" s="2"/>
      <c r="T163" s="2"/>
      <c r="U163" s="2"/>
      <c r="V163" s="2"/>
      <c r="W163" s="2"/>
      <c r="X163" s="2"/>
      <c r="Y163" s="2"/>
      <c r="Z163" s="2"/>
    </row>
    <row r="164" ht="33.75" customHeight="1">
      <c r="A164" s="22"/>
      <c r="B164" s="22"/>
      <c r="C164" s="22"/>
      <c r="D164" s="22"/>
      <c r="E164" s="22"/>
      <c r="F164" s="22"/>
      <c r="G164" s="22"/>
      <c r="H164" s="22"/>
      <c r="I164" s="22"/>
      <c r="J164" s="22"/>
      <c r="K164" s="22"/>
      <c r="L164" s="23" t="str">
        <f t="shared" si="1"/>
        <v/>
      </c>
      <c r="M164" s="2"/>
      <c r="N164" s="2"/>
      <c r="O164" s="2"/>
      <c r="P164" s="2"/>
      <c r="Q164" s="2"/>
      <c r="R164" s="2"/>
      <c r="S164" s="2"/>
      <c r="T164" s="2"/>
      <c r="U164" s="2"/>
      <c r="V164" s="2"/>
      <c r="W164" s="2"/>
      <c r="X164" s="2"/>
      <c r="Y164" s="2"/>
      <c r="Z164" s="2"/>
    </row>
    <row r="165" ht="33.75" customHeight="1">
      <c r="A165" s="24"/>
      <c r="B165" s="24"/>
      <c r="C165" s="24"/>
      <c r="D165" s="24"/>
      <c r="E165" s="24"/>
      <c r="F165" s="24"/>
      <c r="G165" s="24"/>
      <c r="H165" s="24"/>
      <c r="I165" s="24"/>
      <c r="J165" s="24"/>
      <c r="K165" s="24"/>
      <c r="L165" s="23" t="str">
        <f t="shared" si="1"/>
        <v/>
      </c>
      <c r="M165" s="2"/>
      <c r="N165" s="2"/>
      <c r="O165" s="2"/>
      <c r="P165" s="2"/>
      <c r="Q165" s="2"/>
      <c r="R165" s="2"/>
      <c r="S165" s="2"/>
      <c r="T165" s="2"/>
      <c r="U165" s="2"/>
      <c r="V165" s="2"/>
      <c r="W165" s="2"/>
      <c r="X165" s="2"/>
      <c r="Y165" s="2"/>
      <c r="Z165" s="2"/>
    </row>
    <row r="166" ht="33.75" customHeight="1">
      <c r="A166" s="22"/>
      <c r="B166" s="22"/>
      <c r="C166" s="22"/>
      <c r="D166" s="22"/>
      <c r="E166" s="22"/>
      <c r="F166" s="22"/>
      <c r="G166" s="22"/>
      <c r="H166" s="22"/>
      <c r="I166" s="22"/>
      <c r="J166" s="22"/>
      <c r="K166" s="22"/>
      <c r="L166" s="23" t="str">
        <f t="shared" si="1"/>
        <v/>
      </c>
      <c r="M166" s="2"/>
      <c r="N166" s="2"/>
      <c r="O166" s="2"/>
      <c r="P166" s="2"/>
      <c r="Q166" s="2"/>
      <c r="R166" s="2"/>
      <c r="S166" s="2"/>
      <c r="T166" s="2"/>
      <c r="U166" s="2"/>
      <c r="V166" s="2"/>
      <c r="W166" s="2"/>
      <c r="X166" s="2"/>
      <c r="Y166" s="2"/>
      <c r="Z166" s="2"/>
    </row>
    <row r="167" ht="33.75" customHeight="1">
      <c r="A167" s="24"/>
      <c r="B167" s="24"/>
      <c r="C167" s="24"/>
      <c r="D167" s="24"/>
      <c r="E167" s="24"/>
      <c r="F167" s="24"/>
      <c r="G167" s="24"/>
      <c r="H167" s="24"/>
      <c r="I167" s="24"/>
      <c r="J167" s="24"/>
      <c r="K167" s="24"/>
      <c r="L167" s="23" t="str">
        <f t="shared" si="1"/>
        <v/>
      </c>
      <c r="M167" s="2"/>
      <c r="N167" s="2"/>
      <c r="O167" s="2"/>
      <c r="P167" s="2"/>
      <c r="Q167" s="2"/>
      <c r="R167" s="2"/>
      <c r="S167" s="2"/>
      <c r="T167" s="2"/>
      <c r="U167" s="2"/>
      <c r="V167" s="2"/>
      <c r="W167" s="2"/>
      <c r="X167" s="2"/>
      <c r="Y167" s="2"/>
      <c r="Z167" s="2"/>
    </row>
    <row r="168" ht="33.75" customHeight="1">
      <c r="A168" s="22"/>
      <c r="B168" s="22"/>
      <c r="C168" s="22"/>
      <c r="D168" s="22"/>
      <c r="E168" s="22"/>
      <c r="F168" s="22"/>
      <c r="G168" s="22"/>
      <c r="H168" s="22"/>
      <c r="I168" s="22"/>
      <c r="J168" s="22"/>
      <c r="K168" s="22"/>
      <c r="L168" s="23" t="str">
        <f t="shared" si="1"/>
        <v/>
      </c>
      <c r="M168" s="2"/>
      <c r="N168" s="2"/>
      <c r="O168" s="2"/>
      <c r="P168" s="2"/>
      <c r="Q168" s="2"/>
      <c r="R168" s="2"/>
      <c r="S168" s="2"/>
      <c r="T168" s="2"/>
      <c r="U168" s="2"/>
      <c r="V168" s="2"/>
      <c r="W168" s="2"/>
      <c r="X168" s="2"/>
      <c r="Y168" s="2"/>
      <c r="Z168" s="2"/>
    </row>
    <row r="169" ht="33.75" customHeight="1">
      <c r="A169" s="24"/>
      <c r="B169" s="24"/>
      <c r="C169" s="24"/>
      <c r="D169" s="24"/>
      <c r="E169" s="24"/>
      <c r="F169" s="24"/>
      <c r="G169" s="24"/>
      <c r="H169" s="24"/>
      <c r="I169" s="24"/>
      <c r="J169" s="24"/>
      <c r="K169" s="24"/>
      <c r="L169" s="23" t="str">
        <f t="shared" si="1"/>
        <v/>
      </c>
      <c r="M169" s="2"/>
      <c r="N169" s="2"/>
      <c r="O169" s="2"/>
      <c r="P169" s="2"/>
      <c r="Q169" s="2"/>
      <c r="R169" s="2"/>
      <c r="S169" s="2"/>
      <c r="T169" s="2"/>
      <c r="U169" s="2"/>
      <c r="V169" s="2"/>
      <c r="W169" s="2"/>
      <c r="X169" s="2"/>
      <c r="Y169" s="2"/>
      <c r="Z169" s="2"/>
    </row>
    <row r="170" ht="33.75" customHeight="1">
      <c r="A170" s="22"/>
      <c r="B170" s="22"/>
      <c r="C170" s="22"/>
      <c r="D170" s="22"/>
      <c r="E170" s="22"/>
      <c r="F170" s="22"/>
      <c r="G170" s="22"/>
      <c r="H170" s="22"/>
      <c r="I170" s="22"/>
      <c r="J170" s="22"/>
      <c r="K170" s="22"/>
      <c r="L170" s="23" t="str">
        <f t="shared" si="1"/>
        <v/>
      </c>
      <c r="M170" s="2"/>
      <c r="N170" s="2"/>
      <c r="O170" s="2"/>
      <c r="P170" s="2"/>
      <c r="Q170" s="2"/>
      <c r="R170" s="2"/>
      <c r="S170" s="2"/>
      <c r="T170" s="2"/>
      <c r="U170" s="2"/>
      <c r="V170" s="2"/>
      <c r="W170" s="2"/>
      <c r="X170" s="2"/>
      <c r="Y170" s="2"/>
      <c r="Z170" s="2"/>
    </row>
    <row r="171" ht="33.75" customHeight="1">
      <c r="A171" s="24"/>
      <c r="B171" s="24"/>
      <c r="C171" s="24"/>
      <c r="D171" s="24"/>
      <c r="E171" s="24"/>
      <c r="F171" s="24"/>
      <c r="G171" s="24"/>
      <c r="H171" s="24"/>
      <c r="I171" s="24"/>
      <c r="J171" s="24"/>
      <c r="K171" s="24"/>
      <c r="L171" s="23" t="str">
        <f t="shared" si="1"/>
        <v/>
      </c>
      <c r="M171" s="2"/>
      <c r="N171" s="2"/>
      <c r="O171" s="2"/>
      <c r="P171" s="2"/>
      <c r="Q171" s="2"/>
      <c r="R171" s="2"/>
      <c r="S171" s="2"/>
      <c r="T171" s="2"/>
      <c r="U171" s="2"/>
      <c r="V171" s="2"/>
      <c r="W171" s="2"/>
      <c r="X171" s="2"/>
      <c r="Y171" s="2"/>
      <c r="Z171" s="2"/>
    </row>
    <row r="172" ht="33.75" customHeight="1">
      <c r="A172" s="22"/>
      <c r="B172" s="22"/>
      <c r="C172" s="22"/>
      <c r="D172" s="22"/>
      <c r="E172" s="22"/>
      <c r="F172" s="22"/>
      <c r="G172" s="22"/>
      <c r="H172" s="22"/>
      <c r="I172" s="22"/>
      <c r="J172" s="22"/>
      <c r="K172" s="22"/>
      <c r="L172" s="23" t="str">
        <f t="shared" si="1"/>
        <v/>
      </c>
      <c r="M172" s="2"/>
      <c r="N172" s="2"/>
      <c r="O172" s="2"/>
      <c r="P172" s="2"/>
      <c r="Q172" s="2"/>
      <c r="R172" s="2"/>
      <c r="S172" s="2"/>
      <c r="T172" s="2"/>
      <c r="U172" s="2"/>
      <c r="V172" s="2"/>
      <c r="W172" s="2"/>
      <c r="X172" s="2"/>
      <c r="Y172" s="2"/>
      <c r="Z172" s="2"/>
    </row>
    <row r="173" ht="33.75" customHeight="1">
      <c r="A173" s="24"/>
      <c r="B173" s="24"/>
      <c r="C173" s="24"/>
      <c r="D173" s="24"/>
      <c r="E173" s="24"/>
      <c r="F173" s="24"/>
      <c r="G173" s="24"/>
      <c r="H173" s="24"/>
      <c r="I173" s="24"/>
      <c r="J173" s="24"/>
      <c r="K173" s="24"/>
      <c r="L173" s="23" t="str">
        <f t="shared" si="1"/>
        <v/>
      </c>
      <c r="M173" s="2"/>
      <c r="N173" s="2"/>
      <c r="O173" s="2"/>
      <c r="P173" s="2"/>
      <c r="Q173" s="2"/>
      <c r="R173" s="2"/>
      <c r="S173" s="2"/>
      <c r="T173" s="2"/>
      <c r="U173" s="2"/>
      <c r="V173" s="2"/>
      <c r="W173" s="2"/>
      <c r="X173" s="2"/>
      <c r="Y173" s="2"/>
      <c r="Z173" s="2"/>
    </row>
    <row r="174" ht="33.75" customHeight="1">
      <c r="A174" s="22"/>
      <c r="B174" s="22"/>
      <c r="C174" s="22"/>
      <c r="D174" s="22"/>
      <c r="E174" s="22"/>
      <c r="F174" s="22"/>
      <c r="G174" s="22"/>
      <c r="H174" s="22"/>
      <c r="I174" s="22"/>
      <c r="J174" s="22"/>
      <c r="K174" s="22"/>
      <c r="L174" s="23" t="str">
        <f t="shared" si="1"/>
        <v/>
      </c>
      <c r="M174" s="2"/>
      <c r="N174" s="2"/>
      <c r="O174" s="2"/>
      <c r="P174" s="2"/>
      <c r="Q174" s="2"/>
      <c r="R174" s="2"/>
      <c r="S174" s="2"/>
      <c r="T174" s="2"/>
      <c r="U174" s="2"/>
      <c r="V174" s="2"/>
      <c r="W174" s="2"/>
      <c r="X174" s="2"/>
      <c r="Y174" s="2"/>
      <c r="Z174" s="2"/>
    </row>
    <row r="175" ht="33.75" customHeight="1">
      <c r="A175" s="24"/>
      <c r="B175" s="24"/>
      <c r="C175" s="24"/>
      <c r="D175" s="24"/>
      <c r="E175" s="24"/>
      <c r="F175" s="24"/>
      <c r="G175" s="24"/>
      <c r="H175" s="24"/>
      <c r="I175" s="24"/>
      <c r="J175" s="24"/>
      <c r="K175" s="24"/>
      <c r="L175" s="23" t="str">
        <f t="shared" si="1"/>
        <v/>
      </c>
      <c r="M175" s="2"/>
      <c r="N175" s="2"/>
      <c r="O175" s="2"/>
      <c r="P175" s="2"/>
      <c r="Q175" s="2"/>
      <c r="R175" s="2"/>
      <c r="S175" s="2"/>
      <c r="T175" s="2"/>
      <c r="U175" s="2"/>
      <c r="V175" s="2"/>
      <c r="W175" s="2"/>
      <c r="X175" s="2"/>
      <c r="Y175" s="2"/>
      <c r="Z175" s="2"/>
    </row>
    <row r="176" ht="33.75" customHeight="1">
      <c r="A176" s="22"/>
      <c r="B176" s="22"/>
      <c r="C176" s="22"/>
      <c r="D176" s="22"/>
      <c r="E176" s="22"/>
      <c r="F176" s="22"/>
      <c r="G176" s="22"/>
      <c r="H176" s="22"/>
      <c r="I176" s="22"/>
      <c r="J176" s="22"/>
      <c r="K176" s="22"/>
      <c r="L176" s="23" t="str">
        <f t="shared" si="1"/>
        <v/>
      </c>
      <c r="M176" s="2"/>
      <c r="N176" s="2"/>
      <c r="O176" s="2"/>
      <c r="P176" s="2"/>
      <c r="Q176" s="2"/>
      <c r="R176" s="2"/>
      <c r="S176" s="2"/>
      <c r="T176" s="2"/>
      <c r="U176" s="2"/>
      <c r="V176" s="2"/>
      <c r="W176" s="2"/>
      <c r="X176" s="2"/>
      <c r="Y176" s="2"/>
      <c r="Z176" s="2"/>
    </row>
    <row r="177" ht="33.75" customHeight="1">
      <c r="A177" s="24"/>
      <c r="B177" s="24"/>
      <c r="C177" s="24"/>
      <c r="D177" s="24"/>
      <c r="E177" s="24"/>
      <c r="F177" s="24"/>
      <c r="G177" s="24"/>
      <c r="H177" s="24"/>
      <c r="I177" s="24"/>
      <c r="J177" s="24"/>
      <c r="K177" s="24"/>
      <c r="L177" s="23" t="str">
        <f t="shared" si="1"/>
        <v/>
      </c>
      <c r="M177" s="2"/>
      <c r="N177" s="2"/>
      <c r="O177" s="2"/>
      <c r="P177" s="2"/>
      <c r="Q177" s="2"/>
      <c r="R177" s="2"/>
      <c r="S177" s="2"/>
      <c r="T177" s="2"/>
      <c r="U177" s="2"/>
      <c r="V177" s="2"/>
      <c r="W177" s="2"/>
      <c r="X177" s="2"/>
      <c r="Y177" s="2"/>
      <c r="Z177" s="2"/>
    </row>
    <row r="178" ht="33.75" customHeight="1">
      <c r="A178" s="22"/>
      <c r="B178" s="22"/>
      <c r="C178" s="22"/>
      <c r="D178" s="22"/>
      <c r="E178" s="22"/>
      <c r="F178" s="22"/>
      <c r="G178" s="22"/>
      <c r="H178" s="22"/>
      <c r="I178" s="22"/>
      <c r="J178" s="22"/>
      <c r="K178" s="22"/>
      <c r="L178" s="23" t="str">
        <f t="shared" si="1"/>
        <v/>
      </c>
      <c r="M178" s="2"/>
      <c r="N178" s="2"/>
      <c r="O178" s="2"/>
      <c r="P178" s="2"/>
      <c r="Q178" s="2"/>
      <c r="R178" s="2"/>
      <c r="S178" s="2"/>
      <c r="T178" s="2"/>
      <c r="U178" s="2"/>
      <c r="V178" s="2"/>
      <c r="W178" s="2"/>
      <c r="X178" s="2"/>
      <c r="Y178" s="2"/>
      <c r="Z178" s="2"/>
    </row>
    <row r="179" ht="33.75" customHeight="1">
      <c r="A179" s="24"/>
      <c r="B179" s="24"/>
      <c r="C179" s="24"/>
      <c r="D179" s="24"/>
      <c r="E179" s="24"/>
      <c r="F179" s="24"/>
      <c r="G179" s="24"/>
      <c r="H179" s="24"/>
      <c r="I179" s="24"/>
      <c r="J179" s="24"/>
      <c r="K179" s="24"/>
      <c r="L179" s="23" t="str">
        <f t="shared" si="1"/>
        <v/>
      </c>
      <c r="M179" s="2"/>
      <c r="N179" s="2"/>
      <c r="O179" s="2"/>
      <c r="P179" s="2"/>
      <c r="Q179" s="2"/>
      <c r="R179" s="2"/>
      <c r="S179" s="2"/>
      <c r="T179" s="2"/>
      <c r="U179" s="2"/>
      <c r="V179" s="2"/>
      <c r="W179" s="2"/>
      <c r="X179" s="2"/>
      <c r="Y179" s="2"/>
      <c r="Z179" s="2"/>
    </row>
    <row r="180" ht="33.75" customHeight="1">
      <c r="A180" s="22"/>
      <c r="B180" s="22"/>
      <c r="C180" s="22"/>
      <c r="D180" s="22"/>
      <c r="E180" s="22"/>
      <c r="F180" s="22"/>
      <c r="G180" s="22"/>
      <c r="H180" s="22"/>
      <c r="I180" s="22"/>
      <c r="J180" s="22"/>
      <c r="K180" s="22"/>
      <c r="L180" s="23" t="str">
        <f t="shared" si="1"/>
        <v/>
      </c>
      <c r="M180" s="2"/>
      <c r="N180" s="2"/>
      <c r="O180" s="2"/>
      <c r="P180" s="2"/>
      <c r="Q180" s="2"/>
      <c r="R180" s="2"/>
      <c r="S180" s="2"/>
      <c r="T180" s="2"/>
      <c r="U180" s="2"/>
      <c r="V180" s="2"/>
      <c r="W180" s="2"/>
      <c r="X180" s="2"/>
      <c r="Y180" s="2"/>
      <c r="Z180" s="2"/>
    </row>
    <row r="181" ht="33.75" customHeight="1">
      <c r="A181" s="24"/>
      <c r="B181" s="24"/>
      <c r="C181" s="24"/>
      <c r="D181" s="24"/>
      <c r="E181" s="24"/>
      <c r="F181" s="24"/>
      <c r="G181" s="24"/>
      <c r="H181" s="24"/>
      <c r="I181" s="24"/>
      <c r="J181" s="24"/>
      <c r="K181" s="24"/>
      <c r="L181" s="23" t="str">
        <f t="shared" si="1"/>
        <v/>
      </c>
      <c r="M181" s="2"/>
      <c r="N181" s="2"/>
      <c r="O181" s="2"/>
      <c r="P181" s="2"/>
      <c r="Q181" s="2"/>
      <c r="R181" s="2"/>
      <c r="S181" s="2"/>
      <c r="T181" s="2"/>
      <c r="U181" s="2"/>
      <c r="V181" s="2"/>
      <c r="W181" s="2"/>
      <c r="X181" s="2"/>
      <c r="Y181" s="2"/>
      <c r="Z181" s="2"/>
    </row>
    <row r="182" ht="33.75" customHeight="1">
      <c r="A182" s="22"/>
      <c r="B182" s="22"/>
      <c r="C182" s="22"/>
      <c r="D182" s="22"/>
      <c r="E182" s="22"/>
      <c r="F182" s="22"/>
      <c r="G182" s="22"/>
      <c r="H182" s="22"/>
      <c r="I182" s="22"/>
      <c r="J182" s="22"/>
      <c r="K182" s="22"/>
      <c r="L182" s="23" t="str">
        <f t="shared" si="1"/>
        <v/>
      </c>
      <c r="M182" s="2"/>
      <c r="N182" s="2"/>
      <c r="O182" s="2"/>
      <c r="P182" s="2"/>
      <c r="Q182" s="2"/>
      <c r="R182" s="2"/>
      <c r="S182" s="2"/>
      <c r="T182" s="2"/>
      <c r="U182" s="2"/>
      <c r="V182" s="2"/>
      <c r="W182" s="2"/>
      <c r="X182" s="2"/>
      <c r="Y182" s="2"/>
      <c r="Z182" s="2"/>
    </row>
    <row r="183" ht="33.75" customHeight="1">
      <c r="A183" s="24"/>
      <c r="B183" s="24"/>
      <c r="C183" s="24"/>
      <c r="D183" s="24"/>
      <c r="E183" s="24"/>
      <c r="F183" s="24"/>
      <c r="G183" s="24"/>
      <c r="H183" s="24"/>
      <c r="I183" s="24"/>
      <c r="J183" s="24"/>
      <c r="K183" s="24"/>
      <c r="L183" s="23" t="str">
        <f t="shared" si="1"/>
        <v/>
      </c>
      <c r="M183" s="2"/>
      <c r="N183" s="2"/>
      <c r="O183" s="2"/>
      <c r="P183" s="2"/>
      <c r="Q183" s="2"/>
      <c r="R183" s="2"/>
      <c r="S183" s="2"/>
      <c r="T183" s="2"/>
      <c r="U183" s="2"/>
      <c r="V183" s="2"/>
      <c r="W183" s="2"/>
      <c r="X183" s="2"/>
      <c r="Y183" s="2"/>
      <c r="Z183" s="2"/>
    </row>
    <row r="184" ht="33.75" customHeight="1">
      <c r="A184" s="22"/>
      <c r="B184" s="22"/>
      <c r="C184" s="22"/>
      <c r="D184" s="22"/>
      <c r="E184" s="22"/>
      <c r="F184" s="22"/>
      <c r="G184" s="22"/>
      <c r="H184" s="22"/>
      <c r="I184" s="22"/>
      <c r="J184" s="22"/>
      <c r="K184" s="22"/>
      <c r="L184" s="23" t="str">
        <f t="shared" si="1"/>
        <v/>
      </c>
      <c r="M184" s="2"/>
      <c r="N184" s="2"/>
      <c r="O184" s="2"/>
      <c r="P184" s="2"/>
      <c r="Q184" s="2"/>
      <c r="R184" s="2"/>
      <c r="S184" s="2"/>
      <c r="T184" s="2"/>
      <c r="U184" s="2"/>
      <c r="V184" s="2"/>
      <c r="W184" s="2"/>
      <c r="X184" s="2"/>
      <c r="Y184" s="2"/>
      <c r="Z184" s="2"/>
    </row>
    <row r="185" ht="33.75" customHeight="1">
      <c r="A185" s="24"/>
      <c r="B185" s="24"/>
      <c r="C185" s="24"/>
      <c r="D185" s="24"/>
      <c r="E185" s="24"/>
      <c r="F185" s="24"/>
      <c r="G185" s="24"/>
      <c r="H185" s="24"/>
      <c r="I185" s="24"/>
      <c r="J185" s="24"/>
      <c r="K185" s="24"/>
      <c r="L185" s="23" t="str">
        <f t="shared" si="1"/>
        <v/>
      </c>
      <c r="M185" s="2"/>
      <c r="N185" s="2"/>
      <c r="O185" s="2"/>
      <c r="P185" s="2"/>
      <c r="Q185" s="2"/>
      <c r="R185" s="2"/>
      <c r="S185" s="2"/>
      <c r="T185" s="2"/>
      <c r="U185" s="2"/>
      <c r="V185" s="2"/>
      <c r="W185" s="2"/>
      <c r="X185" s="2"/>
      <c r="Y185" s="2"/>
      <c r="Z185" s="2"/>
    </row>
    <row r="186" ht="33.75" customHeight="1">
      <c r="A186" s="22"/>
      <c r="B186" s="22"/>
      <c r="C186" s="22"/>
      <c r="D186" s="22"/>
      <c r="E186" s="22"/>
      <c r="F186" s="22"/>
      <c r="G186" s="22"/>
      <c r="H186" s="22"/>
      <c r="I186" s="22"/>
      <c r="J186" s="22"/>
      <c r="K186" s="22"/>
      <c r="L186" s="23" t="str">
        <f t="shared" si="1"/>
        <v/>
      </c>
      <c r="M186" s="2"/>
      <c r="N186" s="2"/>
      <c r="O186" s="2"/>
      <c r="P186" s="2"/>
      <c r="Q186" s="2"/>
      <c r="R186" s="2"/>
      <c r="S186" s="2"/>
      <c r="T186" s="2"/>
      <c r="U186" s="2"/>
      <c r="V186" s="2"/>
      <c r="W186" s="2"/>
      <c r="X186" s="2"/>
      <c r="Y186" s="2"/>
      <c r="Z186" s="2"/>
    </row>
    <row r="187" ht="33.75" customHeight="1">
      <c r="A187" s="24"/>
      <c r="B187" s="24"/>
      <c r="C187" s="24"/>
      <c r="D187" s="24"/>
      <c r="E187" s="24"/>
      <c r="F187" s="24"/>
      <c r="G187" s="24"/>
      <c r="H187" s="24"/>
      <c r="I187" s="24"/>
      <c r="J187" s="24"/>
      <c r="K187" s="24"/>
      <c r="L187" s="23" t="str">
        <f t="shared" si="1"/>
        <v/>
      </c>
      <c r="M187" s="2"/>
      <c r="N187" s="2"/>
      <c r="O187" s="2"/>
      <c r="P187" s="2"/>
      <c r="Q187" s="2"/>
      <c r="R187" s="2"/>
      <c r="S187" s="2"/>
      <c r="T187" s="2"/>
      <c r="U187" s="2"/>
      <c r="V187" s="2"/>
      <c r="W187" s="2"/>
      <c r="X187" s="2"/>
      <c r="Y187" s="2"/>
      <c r="Z187" s="2"/>
    </row>
    <row r="188" ht="33.75" customHeight="1">
      <c r="A188" s="22"/>
      <c r="B188" s="22"/>
      <c r="C188" s="22"/>
      <c r="D188" s="22"/>
      <c r="E188" s="22"/>
      <c r="F188" s="22"/>
      <c r="G188" s="22"/>
      <c r="H188" s="22"/>
      <c r="I188" s="22"/>
      <c r="J188" s="22"/>
      <c r="K188" s="22"/>
      <c r="L188" s="23" t="str">
        <f t="shared" si="1"/>
        <v/>
      </c>
      <c r="M188" s="2"/>
      <c r="N188" s="2"/>
      <c r="O188" s="2"/>
      <c r="P188" s="2"/>
      <c r="Q188" s="2"/>
      <c r="R188" s="2"/>
      <c r="S188" s="2"/>
      <c r="T188" s="2"/>
      <c r="U188" s="2"/>
      <c r="V188" s="2"/>
      <c r="W188" s="2"/>
      <c r="X188" s="2"/>
      <c r="Y188" s="2"/>
      <c r="Z188" s="2"/>
    </row>
    <row r="189" ht="33.75" customHeight="1">
      <c r="A189" s="24"/>
      <c r="B189" s="24"/>
      <c r="C189" s="24"/>
      <c r="D189" s="24"/>
      <c r="E189" s="24"/>
      <c r="F189" s="24"/>
      <c r="G189" s="24"/>
      <c r="H189" s="24"/>
      <c r="I189" s="24"/>
      <c r="J189" s="24"/>
      <c r="K189" s="24"/>
      <c r="L189" s="23" t="str">
        <f t="shared" si="1"/>
        <v/>
      </c>
      <c r="M189" s="2"/>
      <c r="N189" s="2"/>
      <c r="O189" s="2"/>
      <c r="P189" s="2"/>
      <c r="Q189" s="2"/>
      <c r="R189" s="2"/>
      <c r="S189" s="2"/>
      <c r="T189" s="2"/>
      <c r="U189" s="2"/>
      <c r="V189" s="2"/>
      <c r="W189" s="2"/>
      <c r="X189" s="2"/>
      <c r="Y189" s="2"/>
      <c r="Z189" s="2"/>
    </row>
    <row r="190" ht="33.75" customHeight="1">
      <c r="A190" s="22"/>
      <c r="B190" s="22"/>
      <c r="C190" s="22"/>
      <c r="D190" s="22"/>
      <c r="E190" s="22"/>
      <c r="F190" s="22"/>
      <c r="G190" s="22"/>
      <c r="H190" s="22"/>
      <c r="I190" s="22"/>
      <c r="J190" s="22"/>
      <c r="K190" s="22"/>
      <c r="L190" s="23" t="str">
        <f t="shared" si="1"/>
        <v/>
      </c>
      <c r="M190" s="2"/>
      <c r="N190" s="2"/>
      <c r="O190" s="2"/>
      <c r="P190" s="2"/>
      <c r="Q190" s="2"/>
      <c r="R190" s="2"/>
      <c r="S190" s="2"/>
      <c r="T190" s="2"/>
      <c r="U190" s="2"/>
      <c r="V190" s="2"/>
      <c r="W190" s="2"/>
      <c r="X190" s="2"/>
      <c r="Y190" s="2"/>
      <c r="Z190" s="2"/>
    </row>
    <row r="191" ht="33.75" customHeight="1">
      <c r="A191" s="24"/>
      <c r="B191" s="24"/>
      <c r="C191" s="24"/>
      <c r="D191" s="24"/>
      <c r="E191" s="24"/>
      <c r="F191" s="24"/>
      <c r="G191" s="24"/>
      <c r="H191" s="24"/>
      <c r="I191" s="24"/>
      <c r="J191" s="24"/>
      <c r="K191" s="24"/>
      <c r="L191" s="23" t="str">
        <f t="shared" si="1"/>
        <v/>
      </c>
      <c r="M191" s="2"/>
      <c r="N191" s="2"/>
      <c r="O191" s="2"/>
      <c r="P191" s="2"/>
      <c r="Q191" s="2"/>
      <c r="R191" s="2"/>
      <c r="S191" s="2"/>
      <c r="T191" s="2"/>
      <c r="U191" s="2"/>
      <c r="V191" s="2"/>
      <c r="W191" s="2"/>
      <c r="X191" s="2"/>
      <c r="Y191" s="2"/>
      <c r="Z191" s="2"/>
    </row>
    <row r="192" ht="33.75" customHeight="1">
      <c r="A192" s="22"/>
      <c r="B192" s="22"/>
      <c r="C192" s="22"/>
      <c r="D192" s="22"/>
      <c r="E192" s="22"/>
      <c r="F192" s="22"/>
      <c r="G192" s="22"/>
      <c r="H192" s="22"/>
      <c r="I192" s="22"/>
      <c r="J192" s="22"/>
      <c r="K192" s="22"/>
      <c r="L192" s="23" t="str">
        <f t="shared" si="1"/>
        <v/>
      </c>
      <c r="M192" s="2"/>
      <c r="N192" s="2"/>
      <c r="O192" s="2"/>
      <c r="P192" s="2"/>
      <c r="Q192" s="2"/>
      <c r="R192" s="2"/>
      <c r="S192" s="2"/>
      <c r="T192" s="2"/>
      <c r="U192" s="2"/>
      <c r="V192" s="2"/>
      <c r="W192" s="2"/>
      <c r="X192" s="2"/>
      <c r="Y192" s="2"/>
      <c r="Z192" s="2"/>
    </row>
    <row r="193" ht="33.75" customHeight="1">
      <c r="A193" s="24"/>
      <c r="B193" s="24"/>
      <c r="C193" s="24"/>
      <c r="D193" s="24"/>
      <c r="E193" s="24"/>
      <c r="F193" s="24"/>
      <c r="G193" s="24"/>
      <c r="H193" s="24"/>
      <c r="I193" s="24"/>
      <c r="J193" s="24"/>
      <c r="K193" s="24"/>
      <c r="L193" s="23" t="str">
        <f t="shared" si="1"/>
        <v/>
      </c>
      <c r="M193" s="2"/>
      <c r="N193" s="2"/>
      <c r="O193" s="2"/>
      <c r="P193" s="2"/>
      <c r="Q193" s="2"/>
      <c r="R193" s="2"/>
      <c r="S193" s="2"/>
      <c r="T193" s="2"/>
      <c r="U193" s="2"/>
      <c r="V193" s="2"/>
      <c r="W193" s="2"/>
      <c r="X193" s="2"/>
      <c r="Y193" s="2"/>
      <c r="Z193" s="2"/>
    </row>
    <row r="194" ht="33.75" customHeight="1">
      <c r="A194" s="22"/>
      <c r="B194" s="22"/>
      <c r="C194" s="22"/>
      <c r="D194" s="22"/>
      <c r="E194" s="22"/>
      <c r="F194" s="22"/>
      <c r="G194" s="22"/>
      <c r="H194" s="22"/>
      <c r="I194" s="22"/>
      <c r="J194" s="22"/>
      <c r="K194" s="22"/>
      <c r="L194" s="23" t="str">
        <f t="shared" si="1"/>
        <v/>
      </c>
      <c r="M194" s="2"/>
      <c r="N194" s="2"/>
      <c r="O194" s="2"/>
      <c r="P194" s="2"/>
      <c r="Q194" s="2"/>
      <c r="R194" s="2"/>
      <c r="S194" s="2"/>
      <c r="T194" s="2"/>
      <c r="U194" s="2"/>
      <c r="V194" s="2"/>
      <c r="W194" s="2"/>
      <c r="X194" s="2"/>
      <c r="Y194" s="2"/>
      <c r="Z194" s="2"/>
    </row>
    <row r="195" ht="33.75" customHeight="1">
      <c r="A195" s="24"/>
      <c r="B195" s="24"/>
      <c r="C195" s="24"/>
      <c r="D195" s="24"/>
      <c r="E195" s="24"/>
      <c r="F195" s="24"/>
      <c r="G195" s="24"/>
      <c r="H195" s="24"/>
      <c r="I195" s="24"/>
      <c r="J195" s="24"/>
      <c r="K195" s="24"/>
      <c r="L195" s="23" t="str">
        <f t="shared" si="1"/>
        <v/>
      </c>
      <c r="M195" s="2"/>
      <c r="N195" s="2"/>
      <c r="O195" s="2"/>
      <c r="P195" s="2"/>
      <c r="Q195" s="2"/>
      <c r="R195" s="2"/>
      <c r="S195" s="2"/>
      <c r="T195" s="2"/>
      <c r="U195" s="2"/>
      <c r="V195" s="2"/>
      <c r="W195" s="2"/>
      <c r="X195" s="2"/>
      <c r="Y195" s="2"/>
      <c r="Z195" s="2"/>
    </row>
    <row r="196" ht="33.75" customHeight="1">
      <c r="A196" s="22"/>
      <c r="B196" s="22"/>
      <c r="C196" s="22"/>
      <c r="D196" s="22"/>
      <c r="E196" s="22"/>
      <c r="F196" s="22"/>
      <c r="G196" s="22"/>
      <c r="H196" s="22"/>
      <c r="I196" s="22"/>
      <c r="J196" s="22"/>
      <c r="K196" s="22"/>
      <c r="L196" s="23" t="str">
        <f t="shared" si="1"/>
        <v/>
      </c>
      <c r="M196" s="2"/>
      <c r="N196" s="2"/>
      <c r="O196" s="2"/>
      <c r="P196" s="2"/>
      <c r="Q196" s="2"/>
      <c r="R196" s="2"/>
      <c r="S196" s="2"/>
      <c r="T196" s="2"/>
      <c r="U196" s="2"/>
      <c r="V196" s="2"/>
      <c r="W196" s="2"/>
      <c r="X196" s="2"/>
      <c r="Y196" s="2"/>
      <c r="Z196" s="2"/>
    </row>
    <row r="197" ht="33.75" customHeight="1">
      <c r="A197" s="24"/>
      <c r="B197" s="24"/>
      <c r="C197" s="24"/>
      <c r="D197" s="24"/>
      <c r="E197" s="24"/>
      <c r="F197" s="24"/>
      <c r="G197" s="24"/>
      <c r="H197" s="24"/>
      <c r="I197" s="24"/>
      <c r="J197" s="24"/>
      <c r="K197" s="24"/>
      <c r="L197" s="23" t="str">
        <f t="shared" si="1"/>
        <v/>
      </c>
      <c r="M197" s="2"/>
      <c r="N197" s="2"/>
      <c r="O197" s="2"/>
      <c r="P197" s="2"/>
      <c r="Q197" s="2"/>
      <c r="R197" s="2"/>
      <c r="S197" s="2"/>
      <c r="T197" s="2"/>
      <c r="U197" s="2"/>
      <c r="V197" s="2"/>
      <c r="W197" s="2"/>
      <c r="X197" s="2"/>
      <c r="Y197" s="2"/>
      <c r="Z197" s="2"/>
    </row>
    <row r="198" ht="33.75" customHeight="1">
      <c r="A198" s="22"/>
      <c r="B198" s="22"/>
      <c r="C198" s="22"/>
      <c r="D198" s="22"/>
      <c r="E198" s="22"/>
      <c r="F198" s="22"/>
      <c r="G198" s="22"/>
      <c r="H198" s="22"/>
      <c r="I198" s="22"/>
      <c r="J198" s="22"/>
      <c r="K198" s="22"/>
      <c r="L198" s="23" t="str">
        <f t="shared" si="1"/>
        <v/>
      </c>
      <c r="M198" s="2"/>
      <c r="N198" s="2"/>
      <c r="O198" s="2"/>
      <c r="P198" s="2"/>
      <c r="Q198" s="2"/>
      <c r="R198" s="2"/>
      <c r="S198" s="2"/>
      <c r="T198" s="2"/>
      <c r="U198" s="2"/>
      <c r="V198" s="2"/>
      <c r="W198" s="2"/>
      <c r="X198" s="2"/>
      <c r="Y198" s="2"/>
      <c r="Z198" s="2"/>
    </row>
    <row r="199" ht="33.75" customHeight="1">
      <c r="A199" s="24"/>
      <c r="B199" s="24"/>
      <c r="C199" s="24"/>
      <c r="D199" s="24"/>
      <c r="E199" s="24"/>
      <c r="F199" s="24"/>
      <c r="G199" s="24"/>
      <c r="H199" s="24"/>
      <c r="I199" s="24"/>
      <c r="J199" s="24"/>
      <c r="K199" s="24"/>
      <c r="L199" s="23" t="str">
        <f t="shared" si="1"/>
        <v/>
      </c>
      <c r="M199" s="2"/>
      <c r="N199" s="2"/>
      <c r="O199" s="2"/>
      <c r="P199" s="2"/>
      <c r="Q199" s="2"/>
      <c r="R199" s="2"/>
      <c r="S199" s="2"/>
      <c r="T199" s="2"/>
      <c r="U199" s="2"/>
      <c r="V199" s="2"/>
      <c r="W199" s="2"/>
      <c r="X199" s="2"/>
      <c r="Y199" s="2"/>
      <c r="Z199" s="2"/>
    </row>
    <row r="200" ht="33.75" customHeight="1">
      <c r="A200" s="22"/>
      <c r="B200" s="22"/>
      <c r="C200" s="22"/>
      <c r="D200" s="22"/>
      <c r="E200" s="22"/>
      <c r="F200" s="22"/>
      <c r="G200" s="22"/>
      <c r="H200" s="22"/>
      <c r="I200" s="22"/>
      <c r="J200" s="22"/>
      <c r="K200" s="22"/>
      <c r="L200" s="23" t="str">
        <f t="shared" si="1"/>
        <v/>
      </c>
      <c r="M200" s="2"/>
      <c r="N200" s="2"/>
      <c r="O200" s="2"/>
      <c r="P200" s="2"/>
      <c r="Q200" s="2"/>
      <c r="R200" s="2"/>
      <c r="S200" s="2"/>
      <c r="T200" s="2"/>
      <c r="U200" s="2"/>
      <c r="V200" s="2"/>
      <c r="W200" s="2"/>
      <c r="X200" s="2"/>
      <c r="Y200" s="2"/>
      <c r="Z200" s="2"/>
    </row>
    <row r="201" ht="33.75" customHeight="1">
      <c r="A201" s="24"/>
      <c r="B201" s="24"/>
      <c r="C201" s="24"/>
      <c r="D201" s="24"/>
      <c r="E201" s="24"/>
      <c r="F201" s="24"/>
      <c r="G201" s="24"/>
      <c r="H201" s="24"/>
      <c r="I201" s="24"/>
      <c r="J201" s="24"/>
      <c r="K201" s="24"/>
      <c r="L201" s="23" t="str">
        <f t="shared" si="1"/>
        <v/>
      </c>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G1"/>
    <mergeCell ref="A2:G2"/>
  </mergeCells>
  <dataValidations>
    <dataValidation type="list" allowBlank="1" showInputMessage="1" showErrorMessage="1" prompt="Valor no admitido - Responda Sí o No." sqref="K5:K201">
      <formula1>"Sí,No"</formula1>
    </dataValidation>
    <dataValidation type="list" allowBlank="1" showInputMessage="1" showErrorMessage="1" prompt="Valor no admitido - Sólo se admite Funcional o No funcional." sqref="C5:C201">
      <formula1>"Funcional,No funcional"</formula1>
    </dataValidation>
    <dataValidation type="list" allowBlank="1" showInputMessage="1" showErrorMessage="1" prompt="Valor no admitido - Categoría no prevista por la clasificación de la cátedra." sqref="D5:D201">
      <formula1>"Rendimiento,Fiabilidad,Seguridad,Usabilidad,Mantenibilidad,Portabilidad,Cumplimiento normativo"</formula1>
    </dataValidation>
    <dataValidation type="list" allowBlank="1" showInputMessage="1" showErrorMessage="1" prompt="Valor no admitido - Estados admitidos: Validado, Pendiente o Rechazado por el referente." sqref="I5:I201">
      <formula1>"Validado,Pendiente,Rechazado por el referente"</formula1>
    </dataValidation>
    <dataValidation type="list" allowBlank="1" showInputMessage="1" showErrorMessage="1" prompt="Valor no admitido - Escala MoSCoW: Must, Should, Could o Won't." sqref="E5:E201">
      <formula1>"Must,Should,Could,Won't"</formula1>
    </dataValidation>
  </dataValidation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43"/>
    <col customWidth="1" min="2" max="2" width="74.29"/>
    <col customWidth="1" min="3" max="3" width="54.0"/>
    <col customWidth="1" min="4" max="4" width="14.0"/>
    <col customWidth="1" min="5" max="5" width="65.57"/>
    <col customWidth="1" min="6" max="6" width="24.0"/>
  </cols>
  <sheetData>
    <row r="1" ht="30.75" customHeight="1">
      <c r="A1" s="1" t="s">
        <v>0</v>
      </c>
      <c r="H1" s="2"/>
      <c r="I1" s="2"/>
      <c r="J1" s="2"/>
      <c r="K1" s="2"/>
      <c r="L1" s="2"/>
      <c r="M1" s="2"/>
      <c r="N1" s="2"/>
      <c r="O1" s="2"/>
      <c r="P1" s="2"/>
      <c r="Q1" s="2"/>
      <c r="R1" s="2"/>
      <c r="S1" s="2"/>
      <c r="T1" s="2"/>
      <c r="U1" s="2"/>
      <c r="V1" s="2"/>
      <c r="W1" s="2"/>
      <c r="X1" s="2"/>
      <c r="Y1" s="2"/>
      <c r="Z1" s="2"/>
    </row>
    <row r="2" ht="30.75" customHeight="1">
      <c r="A2" s="4" t="s">
        <v>4</v>
      </c>
      <c r="H2" s="2"/>
      <c r="I2" s="2"/>
      <c r="J2" s="2"/>
      <c r="K2" s="2"/>
      <c r="L2" s="2"/>
      <c r="M2" s="2"/>
      <c r="N2" s="2"/>
      <c r="O2" s="2"/>
      <c r="P2" s="2"/>
      <c r="Q2" s="2"/>
      <c r="R2" s="2"/>
      <c r="S2" s="2"/>
      <c r="T2" s="2"/>
      <c r="U2" s="2"/>
      <c r="V2" s="2"/>
      <c r="W2" s="2"/>
      <c r="X2" s="2"/>
      <c r="Y2" s="2"/>
      <c r="Z2" s="2"/>
    </row>
    <row r="3" ht="12.0" customHeight="1">
      <c r="A3" s="2"/>
      <c r="B3" s="2"/>
      <c r="C3" s="2"/>
      <c r="D3" s="2"/>
      <c r="E3" s="2"/>
      <c r="F3" s="2"/>
      <c r="G3" s="2"/>
      <c r="H3" s="2"/>
      <c r="I3" s="2"/>
      <c r="J3" s="2"/>
      <c r="K3" s="2"/>
      <c r="L3" s="2"/>
      <c r="M3" s="2"/>
      <c r="N3" s="2"/>
      <c r="O3" s="2"/>
      <c r="P3" s="2"/>
      <c r="Q3" s="2"/>
      <c r="R3" s="2"/>
      <c r="S3" s="2"/>
      <c r="T3" s="2"/>
      <c r="U3" s="2"/>
      <c r="V3" s="2"/>
      <c r="W3" s="2"/>
      <c r="X3" s="2"/>
      <c r="Y3" s="2"/>
      <c r="Z3" s="2"/>
    </row>
    <row r="4" ht="45.75" customHeight="1">
      <c r="A4" s="6" t="s">
        <v>10</v>
      </c>
      <c r="B4" s="6" t="s">
        <v>31</v>
      </c>
      <c r="C4" s="6" t="s">
        <v>32</v>
      </c>
      <c r="D4" s="6" t="s">
        <v>33</v>
      </c>
      <c r="E4" s="6" t="s">
        <v>34</v>
      </c>
      <c r="F4" s="6" t="s">
        <v>35</v>
      </c>
      <c r="G4" s="10"/>
      <c r="H4" s="10"/>
      <c r="I4" s="10"/>
      <c r="J4" s="10"/>
      <c r="K4" s="10"/>
      <c r="L4" s="10"/>
      <c r="M4" s="10"/>
      <c r="N4" s="10"/>
      <c r="O4" s="10"/>
      <c r="P4" s="10"/>
      <c r="Q4" s="10"/>
      <c r="R4" s="10"/>
      <c r="S4" s="10"/>
      <c r="T4" s="10"/>
      <c r="U4" s="10"/>
      <c r="V4" s="10"/>
      <c r="W4" s="10"/>
      <c r="X4" s="10"/>
      <c r="Y4" s="10"/>
      <c r="Z4" s="10"/>
    </row>
    <row r="5" ht="61.5" customHeight="1">
      <c r="A5" s="7" t="s">
        <v>46</v>
      </c>
      <c r="B5" s="7" t="s">
        <v>47</v>
      </c>
      <c r="C5" s="7" t="s">
        <v>48</v>
      </c>
      <c r="D5" s="7" t="s">
        <v>23</v>
      </c>
      <c r="E5" s="7"/>
      <c r="F5" s="15" t="str">
        <f t="shared" ref="F5:F61" si="1">IF($A5="","",IF(AND($D5="",$E5=""),"Hallazgo sin destino",IF($D5="","Sin requisito, justificado","Deriva requisito")))</f>
        <v>Deriva requisito</v>
      </c>
      <c r="G5" s="10"/>
      <c r="H5" s="10"/>
      <c r="I5" s="10"/>
      <c r="J5" s="10"/>
      <c r="K5" s="10"/>
      <c r="L5" s="10"/>
      <c r="M5" s="10"/>
      <c r="N5" s="10"/>
      <c r="O5" s="10"/>
      <c r="P5" s="10"/>
      <c r="Q5" s="10"/>
      <c r="R5" s="10"/>
      <c r="S5" s="10"/>
      <c r="T5" s="10"/>
      <c r="U5" s="10"/>
      <c r="V5" s="10"/>
      <c r="W5" s="10"/>
      <c r="X5" s="10"/>
      <c r="Y5" s="10"/>
      <c r="Z5" s="10"/>
    </row>
    <row r="6" ht="66.0" customHeight="1">
      <c r="A6" s="13" t="s">
        <v>79</v>
      </c>
      <c r="B6" s="13" t="s">
        <v>80</v>
      </c>
      <c r="C6" s="13" t="s">
        <v>81</v>
      </c>
      <c r="D6" s="13" t="s">
        <v>23</v>
      </c>
      <c r="E6" s="13"/>
      <c r="F6" s="15" t="str">
        <f t="shared" si="1"/>
        <v>Deriva requisito</v>
      </c>
      <c r="G6" s="10"/>
      <c r="H6" s="10"/>
      <c r="I6" s="10"/>
      <c r="J6" s="10"/>
      <c r="K6" s="10"/>
      <c r="L6" s="10"/>
      <c r="M6" s="10"/>
      <c r="N6" s="10"/>
      <c r="O6" s="10"/>
      <c r="P6" s="10"/>
      <c r="Q6" s="10"/>
      <c r="R6" s="10"/>
      <c r="S6" s="10"/>
      <c r="T6" s="10"/>
      <c r="U6" s="10"/>
      <c r="V6" s="10"/>
      <c r="W6" s="10"/>
      <c r="X6" s="10"/>
      <c r="Y6" s="10"/>
      <c r="Z6" s="10"/>
    </row>
    <row r="7" ht="48.75" customHeight="1">
      <c r="A7" s="7" t="s">
        <v>90</v>
      </c>
      <c r="B7" s="7" t="s">
        <v>93</v>
      </c>
      <c r="C7" s="7" t="s">
        <v>94</v>
      </c>
      <c r="D7" s="7"/>
      <c r="E7" s="7" t="s">
        <v>95</v>
      </c>
      <c r="F7" s="15" t="str">
        <f t="shared" si="1"/>
        <v>Sin requisito, justificado</v>
      </c>
      <c r="G7" s="10"/>
      <c r="H7" s="10"/>
      <c r="I7" s="10"/>
      <c r="J7" s="10"/>
      <c r="K7" s="10"/>
      <c r="L7" s="10"/>
      <c r="M7" s="10"/>
      <c r="N7" s="10"/>
      <c r="O7" s="10"/>
      <c r="P7" s="10"/>
      <c r="Q7" s="10"/>
      <c r="R7" s="10"/>
      <c r="S7" s="10"/>
      <c r="T7" s="10"/>
      <c r="U7" s="10"/>
      <c r="V7" s="10"/>
      <c r="W7" s="10"/>
      <c r="X7" s="10"/>
      <c r="Y7" s="10"/>
      <c r="Z7" s="10"/>
    </row>
    <row r="8" ht="38.25" customHeight="1">
      <c r="A8" s="13" t="s">
        <v>86</v>
      </c>
      <c r="B8" s="13" t="s">
        <v>102</v>
      </c>
      <c r="C8" s="13" t="s">
        <v>103</v>
      </c>
      <c r="D8" s="13" t="s">
        <v>104</v>
      </c>
      <c r="E8" s="13"/>
      <c r="F8" s="15" t="str">
        <f t="shared" si="1"/>
        <v>Deriva requisito</v>
      </c>
      <c r="G8" s="10"/>
      <c r="H8" s="10"/>
      <c r="I8" s="10"/>
      <c r="J8" s="10"/>
      <c r="K8" s="10"/>
      <c r="L8" s="10"/>
      <c r="M8" s="10"/>
      <c r="N8" s="10"/>
      <c r="O8" s="10"/>
      <c r="P8" s="10"/>
      <c r="Q8" s="10"/>
      <c r="R8" s="10"/>
      <c r="S8" s="10"/>
      <c r="T8" s="10"/>
      <c r="U8" s="10"/>
      <c r="V8" s="10"/>
      <c r="W8" s="10"/>
      <c r="X8" s="10"/>
      <c r="Y8" s="10"/>
      <c r="Z8" s="10"/>
    </row>
    <row r="9" ht="52.5" customHeight="1">
      <c r="A9" s="7" t="s">
        <v>109</v>
      </c>
      <c r="B9" s="7" t="s">
        <v>110</v>
      </c>
      <c r="C9" s="7" t="s">
        <v>111</v>
      </c>
      <c r="D9" s="7"/>
      <c r="E9" s="7" t="s">
        <v>112</v>
      </c>
      <c r="F9" s="15" t="str">
        <f t="shared" si="1"/>
        <v>Sin requisito, justificado</v>
      </c>
      <c r="G9" s="10"/>
      <c r="H9" s="10"/>
      <c r="I9" s="10"/>
      <c r="J9" s="10"/>
      <c r="K9" s="10"/>
      <c r="L9" s="10"/>
      <c r="M9" s="10"/>
      <c r="N9" s="10"/>
      <c r="O9" s="10"/>
      <c r="P9" s="10"/>
      <c r="Q9" s="10"/>
      <c r="R9" s="10"/>
      <c r="S9" s="10"/>
      <c r="T9" s="10"/>
      <c r="U9" s="10"/>
      <c r="V9" s="10"/>
      <c r="W9" s="10"/>
      <c r="X9" s="10"/>
      <c r="Y9" s="10"/>
      <c r="Z9" s="10"/>
    </row>
    <row r="10" ht="39.75" customHeight="1">
      <c r="A10" s="13" t="s">
        <v>116</v>
      </c>
      <c r="B10" s="13" t="s">
        <v>117</v>
      </c>
      <c r="C10" s="13" t="s">
        <v>119</v>
      </c>
      <c r="D10" s="13" t="s">
        <v>120</v>
      </c>
      <c r="E10" s="13"/>
      <c r="F10" s="15" t="str">
        <f t="shared" si="1"/>
        <v>Deriva requisito</v>
      </c>
      <c r="G10" s="10"/>
      <c r="H10" s="10"/>
      <c r="I10" s="10"/>
      <c r="J10" s="10"/>
      <c r="K10" s="10"/>
      <c r="L10" s="10"/>
      <c r="M10" s="10"/>
      <c r="N10" s="10"/>
      <c r="O10" s="10"/>
      <c r="P10" s="10"/>
      <c r="Q10" s="10"/>
      <c r="R10" s="10"/>
      <c r="S10" s="10"/>
      <c r="T10" s="10"/>
      <c r="U10" s="10"/>
      <c r="V10" s="10"/>
      <c r="W10" s="10"/>
      <c r="X10" s="10"/>
      <c r="Y10" s="10"/>
      <c r="Z10" s="10"/>
    </row>
    <row r="11" ht="39.75" customHeight="1">
      <c r="A11" s="7" t="s">
        <v>126</v>
      </c>
      <c r="B11" s="7" t="s">
        <v>128</v>
      </c>
      <c r="C11" s="7" t="s">
        <v>129</v>
      </c>
      <c r="D11" s="7" t="s">
        <v>120</v>
      </c>
      <c r="E11" s="7"/>
      <c r="F11" s="15" t="str">
        <f t="shared" si="1"/>
        <v>Deriva requisito</v>
      </c>
      <c r="G11" s="10"/>
      <c r="H11" s="10"/>
      <c r="I11" s="10"/>
      <c r="J11" s="10"/>
      <c r="K11" s="10"/>
      <c r="L11" s="10"/>
      <c r="M11" s="10"/>
      <c r="N11" s="10"/>
      <c r="O11" s="10"/>
      <c r="P11" s="10"/>
      <c r="Q11" s="10"/>
      <c r="R11" s="10"/>
      <c r="S11" s="10"/>
      <c r="T11" s="10"/>
      <c r="U11" s="10"/>
      <c r="V11" s="10"/>
      <c r="W11" s="10"/>
      <c r="X11" s="10"/>
      <c r="Y11" s="10"/>
      <c r="Z11" s="10"/>
    </row>
    <row r="12" ht="40.5" customHeight="1">
      <c r="A12" s="13" t="s">
        <v>127</v>
      </c>
      <c r="B12" s="13" t="s">
        <v>131</v>
      </c>
      <c r="C12" s="13" t="s">
        <v>132</v>
      </c>
      <c r="D12" s="13" t="s">
        <v>133</v>
      </c>
      <c r="E12" s="13"/>
      <c r="F12" s="15" t="str">
        <f t="shared" si="1"/>
        <v>Deriva requisito</v>
      </c>
      <c r="G12" s="10"/>
      <c r="H12" s="10"/>
      <c r="I12" s="10"/>
      <c r="J12" s="10"/>
      <c r="K12" s="10"/>
      <c r="L12" s="10"/>
      <c r="M12" s="10"/>
      <c r="N12" s="10"/>
      <c r="O12" s="10"/>
      <c r="P12" s="10"/>
      <c r="Q12" s="10"/>
      <c r="R12" s="10"/>
      <c r="S12" s="10"/>
      <c r="T12" s="10"/>
      <c r="U12" s="10"/>
      <c r="V12" s="10"/>
      <c r="W12" s="10"/>
      <c r="X12" s="10"/>
      <c r="Y12" s="10"/>
      <c r="Z12" s="10"/>
    </row>
    <row r="13" ht="38.25" customHeight="1">
      <c r="A13" s="7" t="s">
        <v>136</v>
      </c>
      <c r="B13" s="7" t="s">
        <v>137</v>
      </c>
      <c r="C13" s="7" t="s">
        <v>139</v>
      </c>
      <c r="D13" s="7" t="s">
        <v>134</v>
      </c>
      <c r="E13" s="7"/>
      <c r="F13" s="15" t="str">
        <f t="shared" si="1"/>
        <v>Deriva requisito</v>
      </c>
      <c r="G13" s="10"/>
      <c r="H13" s="10"/>
      <c r="I13" s="10"/>
      <c r="J13" s="10"/>
      <c r="K13" s="10"/>
      <c r="L13" s="10"/>
      <c r="M13" s="10"/>
      <c r="N13" s="10"/>
      <c r="O13" s="10"/>
      <c r="P13" s="10"/>
      <c r="Q13" s="10"/>
      <c r="R13" s="10"/>
      <c r="S13" s="10"/>
      <c r="T13" s="10"/>
      <c r="U13" s="10"/>
      <c r="V13" s="10"/>
      <c r="W13" s="10"/>
      <c r="X13" s="10"/>
      <c r="Y13" s="10"/>
      <c r="Z13" s="10"/>
    </row>
    <row r="14" ht="38.25" customHeight="1">
      <c r="A14" s="13" t="s">
        <v>142</v>
      </c>
      <c r="B14" s="13" t="s">
        <v>143</v>
      </c>
      <c r="C14" s="13" t="s">
        <v>139</v>
      </c>
      <c r="D14" s="13" t="s">
        <v>144</v>
      </c>
      <c r="E14" s="13"/>
      <c r="F14" s="15" t="str">
        <f t="shared" si="1"/>
        <v>Deriva requisito</v>
      </c>
      <c r="G14" s="10"/>
      <c r="H14" s="10"/>
      <c r="I14" s="10"/>
      <c r="J14" s="10"/>
      <c r="K14" s="10"/>
      <c r="L14" s="10"/>
      <c r="M14" s="10"/>
      <c r="N14" s="10"/>
      <c r="O14" s="10"/>
      <c r="P14" s="10"/>
      <c r="Q14" s="10"/>
      <c r="R14" s="10"/>
      <c r="S14" s="10"/>
      <c r="T14" s="10"/>
      <c r="U14" s="10"/>
      <c r="V14" s="10"/>
      <c r="W14" s="10"/>
      <c r="X14" s="10"/>
      <c r="Y14" s="10"/>
      <c r="Z14" s="10"/>
    </row>
    <row r="15" ht="46.5" customHeight="1">
      <c r="A15" s="7" t="s">
        <v>146</v>
      </c>
      <c r="B15" s="7" t="s">
        <v>148</v>
      </c>
      <c r="C15" s="7" t="s">
        <v>149</v>
      </c>
      <c r="D15" s="7" t="s">
        <v>150</v>
      </c>
      <c r="E15" s="7"/>
      <c r="F15" s="15" t="str">
        <f t="shared" si="1"/>
        <v>Deriva requisito</v>
      </c>
      <c r="G15" s="10"/>
      <c r="H15" s="10"/>
      <c r="I15" s="10"/>
      <c r="J15" s="10"/>
      <c r="K15" s="10"/>
      <c r="L15" s="10"/>
      <c r="M15" s="10"/>
      <c r="N15" s="10"/>
      <c r="O15" s="10"/>
      <c r="P15" s="10"/>
      <c r="Q15" s="10"/>
      <c r="R15" s="10"/>
      <c r="S15" s="10"/>
      <c r="T15" s="10"/>
      <c r="U15" s="10"/>
      <c r="V15" s="10"/>
      <c r="W15" s="10"/>
      <c r="X15" s="10"/>
      <c r="Y15" s="10"/>
      <c r="Z15" s="10"/>
    </row>
    <row r="16" ht="52.5" customHeight="1">
      <c r="A16" s="13" t="s">
        <v>156</v>
      </c>
      <c r="B16" s="13" t="s">
        <v>157</v>
      </c>
      <c r="C16" s="13" t="s">
        <v>158</v>
      </c>
      <c r="D16" s="13"/>
      <c r="E16" s="13" t="s">
        <v>159</v>
      </c>
      <c r="F16" s="15" t="str">
        <f t="shared" si="1"/>
        <v>Sin requisito, justificado</v>
      </c>
      <c r="G16" s="10"/>
      <c r="H16" s="10"/>
      <c r="I16" s="10"/>
      <c r="J16" s="10"/>
      <c r="K16" s="10"/>
      <c r="L16" s="10"/>
      <c r="M16" s="10"/>
      <c r="N16" s="10"/>
      <c r="O16" s="10"/>
      <c r="P16" s="10"/>
      <c r="Q16" s="10"/>
      <c r="R16" s="10"/>
      <c r="S16" s="10"/>
      <c r="T16" s="10"/>
      <c r="U16" s="10"/>
      <c r="V16" s="10"/>
      <c r="W16" s="10"/>
      <c r="X16" s="10"/>
      <c r="Y16" s="10"/>
      <c r="Z16" s="10"/>
    </row>
    <row r="17" ht="39.0" customHeight="1">
      <c r="A17" s="7" t="s">
        <v>161</v>
      </c>
      <c r="B17" s="7" t="s">
        <v>163</v>
      </c>
      <c r="C17" s="7" t="s">
        <v>164</v>
      </c>
      <c r="D17" s="7" t="s">
        <v>165</v>
      </c>
      <c r="E17" s="7"/>
      <c r="F17" s="15" t="str">
        <f t="shared" si="1"/>
        <v>Deriva requisito</v>
      </c>
      <c r="G17" s="10"/>
      <c r="H17" s="10"/>
      <c r="I17" s="10"/>
      <c r="J17" s="10"/>
      <c r="K17" s="10"/>
      <c r="L17" s="10"/>
      <c r="M17" s="10"/>
      <c r="N17" s="10"/>
      <c r="O17" s="10"/>
      <c r="P17" s="10"/>
      <c r="Q17" s="10"/>
      <c r="R17" s="10"/>
      <c r="S17" s="10"/>
      <c r="T17" s="10"/>
      <c r="U17" s="10"/>
      <c r="V17" s="10"/>
      <c r="W17" s="10"/>
      <c r="X17" s="10"/>
      <c r="Y17" s="10"/>
      <c r="Z17" s="10"/>
    </row>
    <row r="18" ht="36.75" customHeight="1">
      <c r="A18" s="13" t="s">
        <v>168</v>
      </c>
      <c r="B18" s="13" t="s">
        <v>169</v>
      </c>
      <c r="C18" s="13" t="s">
        <v>170</v>
      </c>
      <c r="D18" s="13" t="s">
        <v>165</v>
      </c>
      <c r="E18" s="13"/>
      <c r="F18" s="15" t="str">
        <f t="shared" si="1"/>
        <v>Deriva requisito</v>
      </c>
      <c r="G18" s="10"/>
      <c r="H18" s="10"/>
      <c r="I18" s="10"/>
      <c r="J18" s="10"/>
      <c r="K18" s="10"/>
      <c r="L18" s="10"/>
      <c r="M18" s="10"/>
      <c r="N18" s="10"/>
      <c r="O18" s="10"/>
      <c r="P18" s="10"/>
      <c r="Q18" s="10"/>
      <c r="R18" s="10"/>
      <c r="S18" s="10"/>
      <c r="T18" s="10"/>
      <c r="U18" s="10"/>
      <c r="V18" s="10"/>
      <c r="W18" s="10"/>
      <c r="X18" s="10"/>
      <c r="Y18" s="10"/>
      <c r="Z18" s="10"/>
    </row>
    <row r="19" ht="38.25" customHeight="1">
      <c r="A19" s="7" t="s">
        <v>172</v>
      </c>
      <c r="B19" s="7" t="s">
        <v>174</v>
      </c>
      <c r="C19" s="7" t="s">
        <v>175</v>
      </c>
      <c r="D19" s="7" t="s">
        <v>176</v>
      </c>
      <c r="E19" s="7"/>
      <c r="F19" s="15" t="str">
        <f t="shared" si="1"/>
        <v>Deriva requisito</v>
      </c>
      <c r="G19" s="10"/>
      <c r="H19" s="10"/>
      <c r="I19" s="10"/>
      <c r="J19" s="10"/>
      <c r="K19" s="10"/>
      <c r="L19" s="10"/>
      <c r="M19" s="10"/>
      <c r="N19" s="10"/>
      <c r="O19" s="10"/>
      <c r="P19" s="10"/>
      <c r="Q19" s="10"/>
      <c r="R19" s="10"/>
      <c r="S19" s="10"/>
      <c r="T19" s="10"/>
      <c r="U19" s="10"/>
      <c r="V19" s="10"/>
      <c r="W19" s="10"/>
      <c r="X19" s="10"/>
      <c r="Y19" s="10"/>
      <c r="Z19" s="10"/>
    </row>
    <row r="20" ht="50.25" customHeight="1">
      <c r="A20" s="13" t="s">
        <v>180</v>
      </c>
      <c r="B20" s="13" t="s">
        <v>181</v>
      </c>
      <c r="C20" s="13" t="s">
        <v>182</v>
      </c>
      <c r="D20" s="13" t="s">
        <v>183</v>
      </c>
      <c r="E20" s="13"/>
      <c r="F20" s="15" t="str">
        <f t="shared" si="1"/>
        <v>Deriva requisito</v>
      </c>
      <c r="G20" s="10"/>
      <c r="H20" s="10"/>
      <c r="I20" s="10"/>
      <c r="J20" s="10"/>
      <c r="K20" s="10"/>
      <c r="L20" s="10"/>
      <c r="M20" s="10"/>
      <c r="N20" s="10"/>
      <c r="O20" s="10"/>
      <c r="P20" s="10"/>
      <c r="Q20" s="10"/>
      <c r="R20" s="10"/>
      <c r="S20" s="10"/>
      <c r="T20" s="10"/>
      <c r="U20" s="10"/>
      <c r="V20" s="10"/>
      <c r="W20" s="10"/>
      <c r="X20" s="10"/>
      <c r="Y20" s="10"/>
      <c r="Z20" s="10"/>
    </row>
    <row r="21" ht="37.5" customHeight="1">
      <c r="A21" s="7" t="s">
        <v>185</v>
      </c>
      <c r="B21" s="7" t="s">
        <v>186</v>
      </c>
      <c r="C21" s="7" t="s">
        <v>187</v>
      </c>
      <c r="D21" s="7" t="s">
        <v>188</v>
      </c>
      <c r="E21" s="7"/>
      <c r="F21" s="15" t="str">
        <f t="shared" si="1"/>
        <v>Deriva requisito</v>
      </c>
      <c r="G21" s="10"/>
      <c r="H21" s="10"/>
      <c r="I21" s="10"/>
      <c r="J21" s="10"/>
      <c r="K21" s="10"/>
      <c r="L21" s="10"/>
      <c r="M21" s="10"/>
      <c r="N21" s="10"/>
      <c r="O21" s="10"/>
      <c r="P21" s="10"/>
      <c r="Q21" s="10"/>
      <c r="R21" s="10"/>
      <c r="S21" s="10"/>
      <c r="T21" s="10"/>
      <c r="U21" s="10"/>
      <c r="V21" s="10"/>
      <c r="W21" s="10"/>
      <c r="X21" s="10"/>
      <c r="Y21" s="10"/>
      <c r="Z21" s="10"/>
    </row>
    <row r="22" ht="36.0" customHeight="1">
      <c r="A22" s="13" t="s">
        <v>191</v>
      </c>
      <c r="B22" s="13" t="s">
        <v>192</v>
      </c>
      <c r="C22" s="13" t="s">
        <v>164</v>
      </c>
      <c r="D22" s="13" t="s">
        <v>193</v>
      </c>
      <c r="E22" s="13"/>
      <c r="F22" s="15" t="str">
        <f t="shared" si="1"/>
        <v>Deriva requisito</v>
      </c>
      <c r="G22" s="10"/>
      <c r="H22" s="10"/>
      <c r="I22" s="10"/>
      <c r="J22" s="10"/>
      <c r="K22" s="10"/>
      <c r="L22" s="10"/>
      <c r="M22" s="10"/>
      <c r="N22" s="10"/>
      <c r="O22" s="10"/>
      <c r="P22" s="10"/>
      <c r="Q22" s="10"/>
      <c r="R22" s="10"/>
      <c r="S22" s="10"/>
      <c r="T22" s="10"/>
      <c r="U22" s="10"/>
      <c r="V22" s="10"/>
      <c r="W22" s="10"/>
      <c r="X22" s="10"/>
      <c r="Y22" s="10"/>
      <c r="Z22" s="10"/>
    </row>
    <row r="23" ht="48.0" customHeight="1">
      <c r="A23" s="7" t="s">
        <v>196</v>
      </c>
      <c r="B23" s="7" t="s">
        <v>198</v>
      </c>
      <c r="C23" s="7" t="s">
        <v>200</v>
      </c>
      <c r="D23" s="7" t="s">
        <v>201</v>
      </c>
      <c r="E23" s="7"/>
      <c r="F23" s="15" t="str">
        <f t="shared" si="1"/>
        <v>Deriva requisito</v>
      </c>
      <c r="G23" s="10"/>
      <c r="H23" s="10"/>
      <c r="I23" s="10"/>
      <c r="J23" s="10"/>
      <c r="K23" s="10"/>
      <c r="L23" s="10"/>
      <c r="M23" s="10"/>
      <c r="N23" s="10"/>
      <c r="O23" s="10"/>
      <c r="P23" s="10"/>
      <c r="Q23" s="10"/>
      <c r="R23" s="10"/>
      <c r="S23" s="10"/>
      <c r="T23" s="10"/>
      <c r="U23" s="10"/>
      <c r="V23" s="10"/>
      <c r="W23" s="10"/>
      <c r="X23" s="10"/>
      <c r="Y23" s="10"/>
      <c r="Z23" s="10"/>
    </row>
    <row r="24" ht="48.75" customHeight="1">
      <c r="A24" s="13" t="s">
        <v>202</v>
      </c>
      <c r="B24" s="13" t="s">
        <v>203</v>
      </c>
      <c r="C24" s="13" t="s">
        <v>204</v>
      </c>
      <c r="D24" s="13" t="s">
        <v>205</v>
      </c>
      <c r="E24" s="13"/>
      <c r="F24" s="15" t="str">
        <f t="shared" si="1"/>
        <v>Deriva requisito</v>
      </c>
      <c r="G24" s="10"/>
      <c r="H24" s="10"/>
      <c r="I24" s="10"/>
      <c r="J24" s="10"/>
      <c r="K24" s="10"/>
      <c r="L24" s="10"/>
      <c r="M24" s="10"/>
      <c r="N24" s="10"/>
      <c r="O24" s="10"/>
      <c r="P24" s="10"/>
      <c r="Q24" s="10"/>
      <c r="R24" s="10"/>
      <c r="S24" s="10"/>
      <c r="T24" s="10"/>
      <c r="U24" s="10"/>
      <c r="V24" s="10"/>
      <c r="W24" s="10"/>
      <c r="X24" s="10"/>
      <c r="Y24" s="10"/>
      <c r="Z24" s="10"/>
    </row>
    <row r="25" ht="51.75" customHeight="1">
      <c r="A25" s="7" t="s">
        <v>207</v>
      </c>
      <c r="B25" s="7" t="s">
        <v>208</v>
      </c>
      <c r="C25" s="7" t="s">
        <v>210</v>
      </c>
      <c r="D25" s="7"/>
      <c r="E25" s="7" t="s">
        <v>212</v>
      </c>
      <c r="F25" s="15" t="str">
        <f t="shared" si="1"/>
        <v>Sin requisito, justificado</v>
      </c>
      <c r="G25" s="10"/>
      <c r="H25" s="10"/>
      <c r="I25" s="10"/>
      <c r="J25" s="10"/>
      <c r="K25" s="10"/>
      <c r="L25" s="10"/>
      <c r="M25" s="10"/>
      <c r="N25" s="10"/>
      <c r="O25" s="10"/>
      <c r="P25" s="10"/>
      <c r="Q25" s="10"/>
      <c r="R25" s="10"/>
      <c r="S25" s="10"/>
      <c r="T25" s="10"/>
      <c r="U25" s="10"/>
      <c r="V25" s="10"/>
      <c r="W25" s="10"/>
      <c r="X25" s="10"/>
      <c r="Y25" s="10"/>
      <c r="Z25" s="10"/>
    </row>
    <row r="26" ht="33.75" customHeight="1">
      <c r="A26" s="22"/>
      <c r="B26" s="22"/>
      <c r="C26" s="22"/>
      <c r="D26" s="22"/>
      <c r="E26" s="22"/>
      <c r="F26" s="23" t="str">
        <f t="shared" si="1"/>
        <v/>
      </c>
      <c r="G26" s="2"/>
      <c r="H26" s="2"/>
      <c r="I26" s="2"/>
      <c r="J26" s="2"/>
      <c r="K26" s="2"/>
      <c r="L26" s="2"/>
      <c r="M26" s="2"/>
      <c r="N26" s="2"/>
      <c r="O26" s="2"/>
      <c r="P26" s="2"/>
      <c r="Q26" s="2"/>
      <c r="R26" s="2"/>
      <c r="S26" s="2"/>
      <c r="T26" s="2"/>
      <c r="U26" s="2"/>
      <c r="V26" s="2"/>
      <c r="W26" s="2"/>
      <c r="X26" s="2"/>
      <c r="Y26" s="2"/>
      <c r="Z26" s="2"/>
    </row>
    <row r="27" ht="33.75" customHeight="1">
      <c r="A27" s="24"/>
      <c r="B27" s="24"/>
      <c r="C27" s="24"/>
      <c r="D27" s="24"/>
      <c r="E27" s="24"/>
      <c r="F27" s="23" t="str">
        <f t="shared" si="1"/>
        <v/>
      </c>
      <c r="G27" s="2"/>
      <c r="H27" s="2"/>
      <c r="I27" s="2"/>
      <c r="J27" s="2"/>
      <c r="K27" s="2"/>
      <c r="L27" s="2"/>
      <c r="M27" s="2"/>
      <c r="N27" s="2"/>
      <c r="O27" s="2"/>
      <c r="P27" s="2"/>
      <c r="Q27" s="2"/>
      <c r="R27" s="2"/>
      <c r="S27" s="2"/>
      <c r="T27" s="2"/>
      <c r="U27" s="2"/>
      <c r="V27" s="2"/>
      <c r="W27" s="2"/>
      <c r="X27" s="2"/>
      <c r="Y27" s="2"/>
      <c r="Z27" s="2"/>
    </row>
    <row r="28" ht="33.75" customHeight="1">
      <c r="A28" s="22"/>
      <c r="B28" s="22"/>
      <c r="C28" s="22"/>
      <c r="D28" s="22"/>
      <c r="E28" s="22"/>
      <c r="F28" s="23" t="str">
        <f t="shared" si="1"/>
        <v/>
      </c>
      <c r="G28" s="2"/>
      <c r="H28" s="2"/>
      <c r="I28" s="2"/>
      <c r="J28" s="2"/>
      <c r="K28" s="2"/>
      <c r="L28" s="2"/>
      <c r="M28" s="2"/>
      <c r="N28" s="2"/>
      <c r="O28" s="2"/>
      <c r="P28" s="2"/>
      <c r="Q28" s="2"/>
      <c r="R28" s="2"/>
      <c r="S28" s="2"/>
      <c r="T28" s="2"/>
      <c r="U28" s="2"/>
      <c r="V28" s="2"/>
      <c r="W28" s="2"/>
      <c r="X28" s="2"/>
      <c r="Y28" s="2"/>
      <c r="Z28" s="2"/>
    </row>
    <row r="29" ht="33.75" customHeight="1">
      <c r="A29" s="24"/>
      <c r="B29" s="24"/>
      <c r="C29" s="24"/>
      <c r="D29" s="24"/>
      <c r="E29" s="24"/>
      <c r="F29" s="23" t="str">
        <f t="shared" si="1"/>
        <v/>
      </c>
      <c r="G29" s="2"/>
      <c r="H29" s="2"/>
      <c r="I29" s="2"/>
      <c r="J29" s="2"/>
      <c r="K29" s="2"/>
      <c r="L29" s="2"/>
      <c r="M29" s="2"/>
      <c r="N29" s="2"/>
      <c r="O29" s="2"/>
      <c r="P29" s="2"/>
      <c r="Q29" s="2"/>
      <c r="R29" s="2"/>
      <c r="S29" s="2"/>
      <c r="T29" s="2"/>
      <c r="U29" s="2"/>
      <c r="V29" s="2"/>
      <c r="W29" s="2"/>
      <c r="X29" s="2"/>
      <c r="Y29" s="2"/>
      <c r="Z29" s="2"/>
    </row>
    <row r="30" ht="33.75" customHeight="1">
      <c r="A30" s="22"/>
      <c r="B30" s="22"/>
      <c r="C30" s="22"/>
      <c r="D30" s="22"/>
      <c r="E30" s="22"/>
      <c r="F30" s="23" t="str">
        <f t="shared" si="1"/>
        <v/>
      </c>
      <c r="G30" s="2"/>
      <c r="H30" s="2"/>
      <c r="I30" s="2"/>
      <c r="J30" s="2"/>
      <c r="K30" s="2"/>
      <c r="L30" s="2"/>
      <c r="M30" s="2"/>
      <c r="N30" s="2"/>
      <c r="O30" s="2"/>
      <c r="P30" s="2"/>
      <c r="Q30" s="2"/>
      <c r="R30" s="2"/>
      <c r="S30" s="2"/>
      <c r="T30" s="2"/>
      <c r="U30" s="2"/>
      <c r="V30" s="2"/>
      <c r="W30" s="2"/>
      <c r="X30" s="2"/>
      <c r="Y30" s="2"/>
      <c r="Z30" s="2"/>
    </row>
    <row r="31" ht="33.75" customHeight="1">
      <c r="A31" s="24"/>
      <c r="B31" s="24"/>
      <c r="C31" s="24"/>
      <c r="D31" s="24"/>
      <c r="E31" s="24"/>
      <c r="F31" s="23" t="str">
        <f t="shared" si="1"/>
        <v/>
      </c>
      <c r="G31" s="2"/>
      <c r="H31" s="2"/>
      <c r="I31" s="2"/>
      <c r="J31" s="2"/>
      <c r="K31" s="2"/>
      <c r="L31" s="2"/>
      <c r="M31" s="2"/>
      <c r="N31" s="2"/>
      <c r="O31" s="2"/>
      <c r="P31" s="2"/>
      <c r="Q31" s="2"/>
      <c r="R31" s="2"/>
      <c r="S31" s="2"/>
      <c r="T31" s="2"/>
      <c r="U31" s="2"/>
      <c r="V31" s="2"/>
      <c r="W31" s="2"/>
      <c r="X31" s="2"/>
      <c r="Y31" s="2"/>
      <c r="Z31" s="2"/>
    </row>
    <row r="32" ht="33.75" customHeight="1">
      <c r="A32" s="22"/>
      <c r="B32" s="22"/>
      <c r="C32" s="22"/>
      <c r="D32" s="22"/>
      <c r="E32" s="22"/>
      <c r="F32" s="23" t="str">
        <f t="shared" si="1"/>
        <v/>
      </c>
      <c r="G32" s="2"/>
      <c r="H32" s="2"/>
      <c r="I32" s="2"/>
      <c r="J32" s="2"/>
      <c r="K32" s="2"/>
      <c r="L32" s="2"/>
      <c r="M32" s="2"/>
      <c r="N32" s="2"/>
      <c r="O32" s="2"/>
      <c r="P32" s="2"/>
      <c r="Q32" s="2"/>
      <c r="R32" s="2"/>
      <c r="S32" s="2"/>
      <c r="T32" s="2"/>
      <c r="U32" s="2"/>
      <c r="V32" s="2"/>
      <c r="W32" s="2"/>
      <c r="X32" s="2"/>
      <c r="Y32" s="2"/>
      <c r="Z32" s="2"/>
    </row>
    <row r="33" ht="33.75" customHeight="1">
      <c r="A33" s="24"/>
      <c r="B33" s="24"/>
      <c r="C33" s="24"/>
      <c r="D33" s="24"/>
      <c r="E33" s="24"/>
      <c r="F33" s="23" t="str">
        <f t="shared" si="1"/>
        <v/>
      </c>
      <c r="G33" s="2"/>
      <c r="H33" s="2"/>
      <c r="I33" s="2"/>
      <c r="J33" s="2"/>
      <c r="K33" s="2"/>
      <c r="L33" s="2"/>
      <c r="M33" s="2"/>
      <c r="N33" s="2"/>
      <c r="O33" s="2"/>
      <c r="P33" s="2"/>
      <c r="Q33" s="2"/>
      <c r="R33" s="2"/>
      <c r="S33" s="2"/>
      <c r="T33" s="2"/>
      <c r="U33" s="2"/>
      <c r="V33" s="2"/>
      <c r="W33" s="2"/>
      <c r="X33" s="2"/>
      <c r="Y33" s="2"/>
      <c r="Z33" s="2"/>
    </row>
    <row r="34" ht="33.75" customHeight="1">
      <c r="A34" s="22"/>
      <c r="B34" s="22"/>
      <c r="C34" s="22"/>
      <c r="D34" s="22"/>
      <c r="E34" s="22"/>
      <c r="F34" s="23" t="str">
        <f t="shared" si="1"/>
        <v/>
      </c>
      <c r="G34" s="2"/>
      <c r="H34" s="2"/>
      <c r="I34" s="2"/>
      <c r="J34" s="2"/>
      <c r="K34" s="2"/>
      <c r="L34" s="2"/>
      <c r="M34" s="2"/>
      <c r="N34" s="2"/>
      <c r="O34" s="2"/>
      <c r="P34" s="2"/>
      <c r="Q34" s="2"/>
      <c r="R34" s="2"/>
      <c r="S34" s="2"/>
      <c r="T34" s="2"/>
      <c r="U34" s="2"/>
      <c r="V34" s="2"/>
      <c r="W34" s="2"/>
      <c r="X34" s="2"/>
      <c r="Y34" s="2"/>
      <c r="Z34" s="2"/>
    </row>
    <row r="35" ht="33.75" customHeight="1">
      <c r="A35" s="24"/>
      <c r="B35" s="24"/>
      <c r="C35" s="24"/>
      <c r="D35" s="24"/>
      <c r="E35" s="24"/>
      <c r="F35" s="23" t="str">
        <f t="shared" si="1"/>
        <v/>
      </c>
      <c r="G35" s="2"/>
      <c r="H35" s="2"/>
      <c r="I35" s="2"/>
      <c r="J35" s="2"/>
      <c r="K35" s="2"/>
      <c r="L35" s="2"/>
      <c r="M35" s="2"/>
      <c r="N35" s="2"/>
      <c r="O35" s="2"/>
      <c r="P35" s="2"/>
      <c r="Q35" s="2"/>
      <c r="R35" s="2"/>
      <c r="S35" s="2"/>
      <c r="T35" s="2"/>
      <c r="U35" s="2"/>
      <c r="V35" s="2"/>
      <c r="W35" s="2"/>
      <c r="X35" s="2"/>
      <c r="Y35" s="2"/>
      <c r="Z35" s="2"/>
    </row>
    <row r="36" ht="33.75" customHeight="1">
      <c r="A36" s="22"/>
      <c r="B36" s="22"/>
      <c r="C36" s="22"/>
      <c r="D36" s="22"/>
      <c r="E36" s="22"/>
      <c r="F36" s="23" t="str">
        <f t="shared" si="1"/>
        <v/>
      </c>
      <c r="G36" s="2"/>
      <c r="H36" s="2"/>
      <c r="I36" s="2"/>
      <c r="J36" s="2"/>
      <c r="K36" s="2"/>
      <c r="L36" s="2"/>
      <c r="M36" s="2"/>
      <c r="N36" s="2"/>
      <c r="O36" s="2"/>
      <c r="P36" s="2"/>
      <c r="Q36" s="2"/>
      <c r="R36" s="2"/>
      <c r="S36" s="2"/>
      <c r="T36" s="2"/>
      <c r="U36" s="2"/>
      <c r="V36" s="2"/>
      <c r="W36" s="2"/>
      <c r="X36" s="2"/>
      <c r="Y36" s="2"/>
      <c r="Z36" s="2"/>
    </row>
    <row r="37" ht="33.75" customHeight="1">
      <c r="A37" s="24"/>
      <c r="B37" s="24"/>
      <c r="C37" s="24"/>
      <c r="D37" s="24"/>
      <c r="E37" s="24"/>
      <c r="F37" s="23" t="str">
        <f t="shared" si="1"/>
        <v/>
      </c>
      <c r="G37" s="2"/>
      <c r="H37" s="2"/>
      <c r="I37" s="2"/>
      <c r="J37" s="2"/>
      <c r="K37" s="2"/>
      <c r="L37" s="2"/>
      <c r="M37" s="2"/>
      <c r="N37" s="2"/>
      <c r="O37" s="2"/>
      <c r="P37" s="2"/>
      <c r="Q37" s="2"/>
      <c r="R37" s="2"/>
      <c r="S37" s="2"/>
      <c r="T37" s="2"/>
      <c r="U37" s="2"/>
      <c r="V37" s="2"/>
      <c r="W37" s="2"/>
      <c r="X37" s="2"/>
      <c r="Y37" s="2"/>
      <c r="Z37" s="2"/>
    </row>
    <row r="38" ht="33.75" customHeight="1">
      <c r="A38" s="22"/>
      <c r="B38" s="22"/>
      <c r="C38" s="22"/>
      <c r="D38" s="22"/>
      <c r="E38" s="22"/>
      <c r="F38" s="23" t="str">
        <f t="shared" si="1"/>
        <v/>
      </c>
      <c r="G38" s="2"/>
      <c r="H38" s="2"/>
      <c r="I38" s="2"/>
      <c r="J38" s="2"/>
      <c r="K38" s="2"/>
      <c r="L38" s="2"/>
      <c r="M38" s="2"/>
      <c r="N38" s="2"/>
      <c r="O38" s="2"/>
      <c r="P38" s="2"/>
      <c r="Q38" s="2"/>
      <c r="R38" s="2"/>
      <c r="S38" s="2"/>
      <c r="T38" s="2"/>
      <c r="U38" s="2"/>
      <c r="V38" s="2"/>
      <c r="W38" s="2"/>
      <c r="X38" s="2"/>
      <c r="Y38" s="2"/>
      <c r="Z38" s="2"/>
    </row>
    <row r="39" ht="33.75" customHeight="1">
      <c r="A39" s="24"/>
      <c r="B39" s="24"/>
      <c r="C39" s="24"/>
      <c r="D39" s="24"/>
      <c r="E39" s="24"/>
      <c r="F39" s="23" t="str">
        <f t="shared" si="1"/>
        <v/>
      </c>
      <c r="G39" s="2"/>
      <c r="H39" s="2"/>
      <c r="I39" s="2"/>
      <c r="J39" s="2"/>
      <c r="K39" s="2"/>
      <c r="L39" s="2"/>
      <c r="M39" s="2"/>
      <c r="N39" s="2"/>
      <c r="O39" s="2"/>
      <c r="P39" s="2"/>
      <c r="Q39" s="2"/>
      <c r="R39" s="2"/>
      <c r="S39" s="2"/>
      <c r="T39" s="2"/>
      <c r="U39" s="2"/>
      <c r="V39" s="2"/>
      <c r="W39" s="2"/>
      <c r="X39" s="2"/>
      <c r="Y39" s="2"/>
      <c r="Z39" s="2"/>
    </row>
    <row r="40" ht="33.75" customHeight="1">
      <c r="A40" s="22"/>
      <c r="B40" s="22"/>
      <c r="C40" s="22"/>
      <c r="D40" s="22"/>
      <c r="E40" s="22"/>
      <c r="F40" s="23" t="str">
        <f t="shared" si="1"/>
        <v/>
      </c>
      <c r="G40" s="2"/>
      <c r="H40" s="2"/>
      <c r="I40" s="2"/>
      <c r="J40" s="2"/>
      <c r="K40" s="2"/>
      <c r="L40" s="2"/>
      <c r="M40" s="2"/>
      <c r="N40" s="2"/>
      <c r="O40" s="2"/>
      <c r="P40" s="2"/>
      <c r="Q40" s="2"/>
      <c r="R40" s="2"/>
      <c r="S40" s="2"/>
      <c r="T40" s="2"/>
      <c r="U40" s="2"/>
      <c r="V40" s="2"/>
      <c r="W40" s="2"/>
      <c r="X40" s="2"/>
      <c r="Y40" s="2"/>
      <c r="Z40" s="2"/>
    </row>
    <row r="41" ht="33.75" customHeight="1">
      <c r="A41" s="24"/>
      <c r="B41" s="24"/>
      <c r="C41" s="24"/>
      <c r="D41" s="24"/>
      <c r="E41" s="24"/>
      <c r="F41" s="23" t="str">
        <f t="shared" si="1"/>
        <v/>
      </c>
      <c r="G41" s="2"/>
      <c r="H41" s="2"/>
      <c r="I41" s="2"/>
      <c r="J41" s="2"/>
      <c r="K41" s="2"/>
      <c r="L41" s="2"/>
      <c r="M41" s="2"/>
      <c r="N41" s="2"/>
      <c r="O41" s="2"/>
      <c r="P41" s="2"/>
      <c r="Q41" s="2"/>
      <c r="R41" s="2"/>
      <c r="S41" s="2"/>
      <c r="T41" s="2"/>
      <c r="U41" s="2"/>
      <c r="V41" s="2"/>
      <c r="W41" s="2"/>
      <c r="X41" s="2"/>
      <c r="Y41" s="2"/>
      <c r="Z41" s="2"/>
    </row>
    <row r="42" ht="33.75" customHeight="1">
      <c r="A42" s="22"/>
      <c r="B42" s="22"/>
      <c r="C42" s="22"/>
      <c r="D42" s="22"/>
      <c r="E42" s="22"/>
      <c r="F42" s="23" t="str">
        <f t="shared" si="1"/>
        <v/>
      </c>
      <c r="G42" s="2"/>
      <c r="H42" s="2"/>
      <c r="I42" s="2"/>
      <c r="J42" s="2"/>
      <c r="K42" s="2"/>
      <c r="L42" s="2"/>
      <c r="M42" s="2"/>
      <c r="N42" s="2"/>
      <c r="O42" s="2"/>
      <c r="P42" s="2"/>
      <c r="Q42" s="2"/>
      <c r="R42" s="2"/>
      <c r="S42" s="2"/>
      <c r="T42" s="2"/>
      <c r="U42" s="2"/>
      <c r="V42" s="2"/>
      <c r="W42" s="2"/>
      <c r="X42" s="2"/>
      <c r="Y42" s="2"/>
      <c r="Z42" s="2"/>
    </row>
    <row r="43" ht="33.75" customHeight="1">
      <c r="A43" s="24"/>
      <c r="B43" s="24"/>
      <c r="C43" s="24"/>
      <c r="D43" s="24"/>
      <c r="E43" s="24"/>
      <c r="F43" s="23" t="str">
        <f t="shared" si="1"/>
        <v/>
      </c>
      <c r="G43" s="2"/>
      <c r="H43" s="2"/>
      <c r="I43" s="2"/>
      <c r="J43" s="2"/>
      <c r="K43" s="2"/>
      <c r="L43" s="2"/>
      <c r="M43" s="2"/>
      <c r="N43" s="2"/>
      <c r="O43" s="2"/>
      <c r="P43" s="2"/>
      <c r="Q43" s="2"/>
      <c r="R43" s="2"/>
      <c r="S43" s="2"/>
      <c r="T43" s="2"/>
      <c r="U43" s="2"/>
      <c r="V43" s="2"/>
      <c r="W43" s="2"/>
      <c r="X43" s="2"/>
      <c r="Y43" s="2"/>
      <c r="Z43" s="2"/>
    </row>
    <row r="44" ht="33.75" customHeight="1">
      <c r="A44" s="22"/>
      <c r="B44" s="22"/>
      <c r="C44" s="22"/>
      <c r="D44" s="22"/>
      <c r="E44" s="22"/>
      <c r="F44" s="23" t="str">
        <f t="shared" si="1"/>
        <v/>
      </c>
      <c r="G44" s="2"/>
      <c r="H44" s="2"/>
      <c r="I44" s="2"/>
      <c r="J44" s="2"/>
      <c r="K44" s="2"/>
      <c r="L44" s="2"/>
      <c r="M44" s="2"/>
      <c r="N44" s="2"/>
      <c r="O44" s="2"/>
      <c r="P44" s="2"/>
      <c r="Q44" s="2"/>
      <c r="R44" s="2"/>
      <c r="S44" s="2"/>
      <c r="T44" s="2"/>
      <c r="U44" s="2"/>
      <c r="V44" s="2"/>
      <c r="W44" s="2"/>
      <c r="X44" s="2"/>
      <c r="Y44" s="2"/>
      <c r="Z44" s="2"/>
    </row>
    <row r="45" ht="33.75" customHeight="1">
      <c r="A45" s="24"/>
      <c r="B45" s="24"/>
      <c r="C45" s="24"/>
      <c r="D45" s="24"/>
      <c r="E45" s="24"/>
      <c r="F45" s="23" t="str">
        <f t="shared" si="1"/>
        <v/>
      </c>
      <c r="G45" s="2"/>
      <c r="H45" s="2"/>
      <c r="I45" s="2"/>
      <c r="J45" s="2"/>
      <c r="K45" s="2"/>
      <c r="L45" s="2"/>
      <c r="M45" s="2"/>
      <c r="N45" s="2"/>
      <c r="O45" s="2"/>
      <c r="P45" s="2"/>
      <c r="Q45" s="2"/>
      <c r="R45" s="2"/>
      <c r="S45" s="2"/>
      <c r="T45" s="2"/>
      <c r="U45" s="2"/>
      <c r="V45" s="2"/>
      <c r="W45" s="2"/>
      <c r="X45" s="2"/>
      <c r="Y45" s="2"/>
      <c r="Z45" s="2"/>
    </row>
    <row r="46" ht="33.75" customHeight="1">
      <c r="A46" s="22"/>
      <c r="B46" s="22"/>
      <c r="C46" s="22"/>
      <c r="D46" s="22"/>
      <c r="E46" s="22"/>
      <c r="F46" s="23" t="str">
        <f t="shared" si="1"/>
        <v/>
      </c>
      <c r="G46" s="2"/>
      <c r="H46" s="2"/>
      <c r="I46" s="2"/>
      <c r="J46" s="2"/>
      <c r="K46" s="2"/>
      <c r="L46" s="2"/>
      <c r="M46" s="2"/>
      <c r="N46" s="2"/>
      <c r="O46" s="2"/>
      <c r="P46" s="2"/>
      <c r="Q46" s="2"/>
      <c r="R46" s="2"/>
      <c r="S46" s="2"/>
      <c r="T46" s="2"/>
      <c r="U46" s="2"/>
      <c r="V46" s="2"/>
      <c r="W46" s="2"/>
      <c r="X46" s="2"/>
      <c r="Y46" s="2"/>
      <c r="Z46" s="2"/>
    </row>
    <row r="47" ht="33.75" customHeight="1">
      <c r="A47" s="24"/>
      <c r="B47" s="24"/>
      <c r="C47" s="24"/>
      <c r="D47" s="24"/>
      <c r="E47" s="24"/>
      <c r="F47" s="23" t="str">
        <f t="shared" si="1"/>
        <v/>
      </c>
      <c r="G47" s="2"/>
      <c r="H47" s="2"/>
      <c r="I47" s="2"/>
      <c r="J47" s="2"/>
      <c r="K47" s="2"/>
      <c r="L47" s="2"/>
      <c r="M47" s="2"/>
      <c r="N47" s="2"/>
      <c r="O47" s="2"/>
      <c r="P47" s="2"/>
      <c r="Q47" s="2"/>
      <c r="R47" s="2"/>
      <c r="S47" s="2"/>
      <c r="T47" s="2"/>
      <c r="U47" s="2"/>
      <c r="V47" s="2"/>
      <c r="W47" s="2"/>
      <c r="X47" s="2"/>
      <c r="Y47" s="2"/>
      <c r="Z47" s="2"/>
    </row>
    <row r="48" ht="33.75" customHeight="1">
      <c r="A48" s="22"/>
      <c r="B48" s="22"/>
      <c r="C48" s="22"/>
      <c r="D48" s="22"/>
      <c r="E48" s="22"/>
      <c r="F48" s="23" t="str">
        <f t="shared" si="1"/>
        <v/>
      </c>
      <c r="G48" s="2"/>
      <c r="H48" s="2"/>
      <c r="I48" s="2"/>
      <c r="J48" s="2"/>
      <c r="K48" s="2"/>
      <c r="L48" s="2"/>
      <c r="M48" s="2"/>
      <c r="N48" s="2"/>
      <c r="O48" s="2"/>
      <c r="P48" s="2"/>
      <c r="Q48" s="2"/>
      <c r="R48" s="2"/>
      <c r="S48" s="2"/>
      <c r="T48" s="2"/>
      <c r="U48" s="2"/>
      <c r="V48" s="2"/>
      <c r="W48" s="2"/>
      <c r="X48" s="2"/>
      <c r="Y48" s="2"/>
      <c r="Z48" s="2"/>
    </row>
    <row r="49" ht="33.75" customHeight="1">
      <c r="A49" s="24"/>
      <c r="B49" s="24"/>
      <c r="C49" s="24"/>
      <c r="D49" s="24"/>
      <c r="E49" s="24"/>
      <c r="F49" s="23" t="str">
        <f t="shared" si="1"/>
        <v/>
      </c>
      <c r="G49" s="2"/>
      <c r="H49" s="2"/>
      <c r="I49" s="2"/>
      <c r="J49" s="2"/>
      <c r="K49" s="2"/>
      <c r="L49" s="2"/>
      <c r="M49" s="2"/>
      <c r="N49" s="2"/>
      <c r="O49" s="2"/>
      <c r="P49" s="2"/>
      <c r="Q49" s="2"/>
      <c r="R49" s="2"/>
      <c r="S49" s="2"/>
      <c r="T49" s="2"/>
      <c r="U49" s="2"/>
      <c r="V49" s="2"/>
      <c r="W49" s="2"/>
      <c r="X49" s="2"/>
      <c r="Y49" s="2"/>
      <c r="Z49" s="2"/>
    </row>
    <row r="50" ht="33.75" customHeight="1">
      <c r="A50" s="22"/>
      <c r="B50" s="22"/>
      <c r="C50" s="22"/>
      <c r="D50" s="22"/>
      <c r="E50" s="22"/>
      <c r="F50" s="23" t="str">
        <f t="shared" si="1"/>
        <v/>
      </c>
      <c r="G50" s="2"/>
      <c r="H50" s="2"/>
      <c r="I50" s="2"/>
      <c r="J50" s="2"/>
      <c r="K50" s="2"/>
      <c r="L50" s="2"/>
      <c r="M50" s="2"/>
      <c r="N50" s="2"/>
      <c r="O50" s="2"/>
      <c r="P50" s="2"/>
      <c r="Q50" s="2"/>
      <c r="R50" s="2"/>
      <c r="S50" s="2"/>
      <c r="T50" s="2"/>
      <c r="U50" s="2"/>
      <c r="V50" s="2"/>
      <c r="W50" s="2"/>
      <c r="X50" s="2"/>
      <c r="Y50" s="2"/>
      <c r="Z50" s="2"/>
    </row>
    <row r="51" ht="33.75" customHeight="1">
      <c r="A51" s="24"/>
      <c r="B51" s="24"/>
      <c r="C51" s="24"/>
      <c r="D51" s="24"/>
      <c r="E51" s="24"/>
      <c r="F51" s="23" t="str">
        <f t="shared" si="1"/>
        <v/>
      </c>
      <c r="G51" s="2"/>
      <c r="H51" s="2"/>
      <c r="I51" s="2"/>
      <c r="J51" s="2"/>
      <c r="K51" s="2"/>
      <c r="L51" s="2"/>
      <c r="M51" s="2"/>
      <c r="N51" s="2"/>
      <c r="O51" s="2"/>
      <c r="P51" s="2"/>
      <c r="Q51" s="2"/>
      <c r="R51" s="2"/>
      <c r="S51" s="2"/>
      <c r="T51" s="2"/>
      <c r="U51" s="2"/>
      <c r="V51" s="2"/>
      <c r="W51" s="2"/>
      <c r="X51" s="2"/>
      <c r="Y51" s="2"/>
      <c r="Z51" s="2"/>
    </row>
    <row r="52" ht="33.75" customHeight="1">
      <c r="A52" s="22"/>
      <c r="B52" s="22"/>
      <c r="C52" s="22"/>
      <c r="D52" s="22"/>
      <c r="E52" s="22"/>
      <c r="F52" s="23" t="str">
        <f t="shared" si="1"/>
        <v/>
      </c>
      <c r="G52" s="2"/>
      <c r="H52" s="2"/>
      <c r="I52" s="2"/>
      <c r="J52" s="2"/>
      <c r="K52" s="2"/>
      <c r="L52" s="2"/>
      <c r="M52" s="2"/>
      <c r="N52" s="2"/>
      <c r="O52" s="2"/>
      <c r="P52" s="2"/>
      <c r="Q52" s="2"/>
      <c r="R52" s="2"/>
      <c r="S52" s="2"/>
      <c r="T52" s="2"/>
      <c r="U52" s="2"/>
      <c r="V52" s="2"/>
      <c r="W52" s="2"/>
      <c r="X52" s="2"/>
      <c r="Y52" s="2"/>
      <c r="Z52" s="2"/>
    </row>
    <row r="53" ht="33.75" customHeight="1">
      <c r="A53" s="24"/>
      <c r="B53" s="24"/>
      <c r="C53" s="24"/>
      <c r="D53" s="24"/>
      <c r="E53" s="24"/>
      <c r="F53" s="23" t="str">
        <f t="shared" si="1"/>
        <v/>
      </c>
      <c r="G53" s="2"/>
      <c r="H53" s="2"/>
      <c r="I53" s="2"/>
      <c r="J53" s="2"/>
      <c r="K53" s="2"/>
      <c r="L53" s="2"/>
      <c r="M53" s="2"/>
      <c r="N53" s="2"/>
      <c r="O53" s="2"/>
      <c r="P53" s="2"/>
      <c r="Q53" s="2"/>
      <c r="R53" s="2"/>
      <c r="S53" s="2"/>
      <c r="T53" s="2"/>
      <c r="U53" s="2"/>
      <c r="V53" s="2"/>
      <c r="W53" s="2"/>
      <c r="X53" s="2"/>
      <c r="Y53" s="2"/>
      <c r="Z53" s="2"/>
    </row>
    <row r="54" ht="33.75" customHeight="1">
      <c r="A54" s="22"/>
      <c r="B54" s="22"/>
      <c r="C54" s="22"/>
      <c r="D54" s="22"/>
      <c r="E54" s="22"/>
      <c r="F54" s="23" t="str">
        <f t="shared" si="1"/>
        <v/>
      </c>
      <c r="G54" s="2"/>
      <c r="H54" s="2"/>
      <c r="I54" s="2"/>
      <c r="J54" s="2"/>
      <c r="K54" s="2"/>
      <c r="L54" s="2"/>
      <c r="M54" s="2"/>
      <c r="N54" s="2"/>
      <c r="O54" s="2"/>
      <c r="P54" s="2"/>
      <c r="Q54" s="2"/>
      <c r="R54" s="2"/>
      <c r="S54" s="2"/>
      <c r="T54" s="2"/>
      <c r="U54" s="2"/>
      <c r="V54" s="2"/>
      <c r="W54" s="2"/>
      <c r="X54" s="2"/>
      <c r="Y54" s="2"/>
      <c r="Z54" s="2"/>
    </row>
    <row r="55" ht="33.75" customHeight="1">
      <c r="A55" s="24"/>
      <c r="B55" s="24"/>
      <c r="C55" s="24"/>
      <c r="D55" s="24"/>
      <c r="E55" s="24"/>
      <c r="F55" s="23" t="str">
        <f t="shared" si="1"/>
        <v/>
      </c>
      <c r="G55" s="2"/>
      <c r="H55" s="2"/>
      <c r="I55" s="2"/>
      <c r="J55" s="2"/>
      <c r="K55" s="2"/>
      <c r="L55" s="2"/>
      <c r="M55" s="2"/>
      <c r="N55" s="2"/>
      <c r="O55" s="2"/>
      <c r="P55" s="2"/>
      <c r="Q55" s="2"/>
      <c r="R55" s="2"/>
      <c r="S55" s="2"/>
      <c r="T55" s="2"/>
      <c r="U55" s="2"/>
      <c r="V55" s="2"/>
      <c r="W55" s="2"/>
      <c r="X55" s="2"/>
      <c r="Y55" s="2"/>
      <c r="Z55" s="2"/>
    </row>
    <row r="56" ht="33.75" customHeight="1">
      <c r="A56" s="22"/>
      <c r="B56" s="22"/>
      <c r="C56" s="22"/>
      <c r="D56" s="22"/>
      <c r="E56" s="22"/>
      <c r="F56" s="23" t="str">
        <f t="shared" si="1"/>
        <v/>
      </c>
      <c r="G56" s="2"/>
      <c r="H56" s="2"/>
      <c r="I56" s="2"/>
      <c r="J56" s="2"/>
      <c r="K56" s="2"/>
      <c r="L56" s="2"/>
      <c r="M56" s="2"/>
      <c r="N56" s="2"/>
      <c r="O56" s="2"/>
      <c r="P56" s="2"/>
      <c r="Q56" s="2"/>
      <c r="R56" s="2"/>
      <c r="S56" s="2"/>
      <c r="T56" s="2"/>
      <c r="U56" s="2"/>
      <c r="V56" s="2"/>
      <c r="W56" s="2"/>
      <c r="X56" s="2"/>
      <c r="Y56" s="2"/>
      <c r="Z56" s="2"/>
    </row>
    <row r="57" ht="33.75" customHeight="1">
      <c r="A57" s="24"/>
      <c r="B57" s="24"/>
      <c r="C57" s="24"/>
      <c r="D57" s="24"/>
      <c r="E57" s="24"/>
      <c r="F57" s="23" t="str">
        <f t="shared" si="1"/>
        <v/>
      </c>
      <c r="G57" s="2"/>
      <c r="H57" s="2"/>
      <c r="I57" s="2"/>
      <c r="J57" s="2"/>
      <c r="K57" s="2"/>
      <c r="L57" s="2"/>
      <c r="M57" s="2"/>
      <c r="N57" s="2"/>
      <c r="O57" s="2"/>
      <c r="P57" s="2"/>
      <c r="Q57" s="2"/>
      <c r="R57" s="2"/>
      <c r="S57" s="2"/>
      <c r="T57" s="2"/>
      <c r="U57" s="2"/>
      <c r="V57" s="2"/>
      <c r="W57" s="2"/>
      <c r="X57" s="2"/>
      <c r="Y57" s="2"/>
      <c r="Z57" s="2"/>
    </row>
    <row r="58" ht="33.75" customHeight="1">
      <c r="A58" s="22"/>
      <c r="B58" s="22"/>
      <c r="C58" s="22"/>
      <c r="D58" s="22"/>
      <c r="E58" s="22"/>
      <c r="F58" s="23" t="str">
        <f t="shared" si="1"/>
        <v/>
      </c>
      <c r="G58" s="2"/>
      <c r="H58" s="2"/>
      <c r="I58" s="2"/>
      <c r="J58" s="2"/>
      <c r="K58" s="2"/>
      <c r="L58" s="2"/>
      <c r="M58" s="2"/>
      <c r="N58" s="2"/>
      <c r="O58" s="2"/>
      <c r="P58" s="2"/>
      <c r="Q58" s="2"/>
      <c r="R58" s="2"/>
      <c r="S58" s="2"/>
      <c r="T58" s="2"/>
      <c r="U58" s="2"/>
      <c r="V58" s="2"/>
      <c r="W58" s="2"/>
      <c r="X58" s="2"/>
      <c r="Y58" s="2"/>
      <c r="Z58" s="2"/>
    </row>
    <row r="59" ht="33.75" customHeight="1">
      <c r="A59" s="24"/>
      <c r="B59" s="24"/>
      <c r="C59" s="24"/>
      <c r="D59" s="24"/>
      <c r="E59" s="24"/>
      <c r="F59" s="23" t="str">
        <f t="shared" si="1"/>
        <v/>
      </c>
      <c r="G59" s="2"/>
      <c r="H59" s="2"/>
      <c r="I59" s="2"/>
      <c r="J59" s="2"/>
      <c r="K59" s="2"/>
      <c r="L59" s="2"/>
      <c r="M59" s="2"/>
      <c r="N59" s="2"/>
      <c r="O59" s="2"/>
      <c r="P59" s="2"/>
      <c r="Q59" s="2"/>
      <c r="R59" s="2"/>
      <c r="S59" s="2"/>
      <c r="T59" s="2"/>
      <c r="U59" s="2"/>
      <c r="V59" s="2"/>
      <c r="W59" s="2"/>
      <c r="X59" s="2"/>
      <c r="Y59" s="2"/>
      <c r="Z59" s="2"/>
    </row>
    <row r="60" ht="33.75" customHeight="1">
      <c r="A60" s="22"/>
      <c r="B60" s="22"/>
      <c r="C60" s="22"/>
      <c r="D60" s="22"/>
      <c r="E60" s="22"/>
      <c r="F60" s="23" t="str">
        <f t="shared" si="1"/>
        <v/>
      </c>
      <c r="G60" s="2"/>
      <c r="H60" s="2"/>
      <c r="I60" s="2"/>
      <c r="J60" s="2"/>
      <c r="K60" s="2"/>
      <c r="L60" s="2"/>
      <c r="M60" s="2"/>
      <c r="N60" s="2"/>
      <c r="O60" s="2"/>
      <c r="P60" s="2"/>
      <c r="Q60" s="2"/>
      <c r="R60" s="2"/>
      <c r="S60" s="2"/>
      <c r="T60" s="2"/>
      <c r="U60" s="2"/>
      <c r="V60" s="2"/>
      <c r="W60" s="2"/>
      <c r="X60" s="2"/>
      <c r="Y60" s="2"/>
      <c r="Z60" s="2"/>
    </row>
    <row r="61" ht="33.75" customHeight="1">
      <c r="A61" s="24"/>
      <c r="B61" s="24"/>
      <c r="C61" s="24"/>
      <c r="D61" s="24"/>
      <c r="E61" s="24"/>
      <c r="F61" s="23" t="str">
        <f t="shared" si="1"/>
        <v/>
      </c>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G1"/>
    <mergeCell ref="A2:G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16.0"/>
    <col customWidth="1" min="3" max="3" width="18.0"/>
    <col customWidth="1" min="4" max="4" width="16.0"/>
    <col customWidth="1" min="5" max="5" width="26.0"/>
    <col customWidth="1" min="6" max="6" width="70.0"/>
    <col customWidth="1" min="7" max="7" width="64.14"/>
  </cols>
  <sheetData>
    <row r="1" ht="19.5" customHeight="1">
      <c r="A1" s="1" t="s">
        <v>3</v>
      </c>
      <c r="H1" s="2"/>
      <c r="I1" s="2"/>
      <c r="J1" s="2"/>
      <c r="K1" s="2"/>
      <c r="L1" s="2"/>
      <c r="M1" s="2"/>
      <c r="N1" s="2"/>
      <c r="O1" s="2"/>
      <c r="P1" s="2"/>
      <c r="Q1" s="2"/>
      <c r="R1" s="2"/>
      <c r="S1" s="2"/>
      <c r="T1" s="2"/>
      <c r="U1" s="2"/>
      <c r="V1" s="2"/>
      <c r="W1" s="2"/>
      <c r="X1" s="2"/>
      <c r="Y1" s="2"/>
      <c r="Z1" s="2"/>
    </row>
    <row r="2" ht="25.5" customHeight="1">
      <c r="A2" s="4" t="s">
        <v>7</v>
      </c>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30.0" customHeight="1">
      <c r="A4" s="6" t="s">
        <v>11</v>
      </c>
      <c r="B4" s="6" t="s">
        <v>38</v>
      </c>
      <c r="C4" s="6" t="s">
        <v>39</v>
      </c>
      <c r="D4" s="6" t="s">
        <v>40</v>
      </c>
      <c r="E4" s="6" t="s">
        <v>41</v>
      </c>
      <c r="F4" s="6" t="s">
        <v>42</v>
      </c>
      <c r="G4" s="6" t="s">
        <v>43</v>
      </c>
      <c r="H4" s="10"/>
      <c r="I4" s="10"/>
      <c r="J4" s="10"/>
      <c r="K4" s="10"/>
      <c r="L4" s="10"/>
      <c r="M4" s="10"/>
      <c r="N4" s="10"/>
      <c r="O4" s="10"/>
      <c r="P4" s="10"/>
      <c r="Q4" s="10"/>
      <c r="R4" s="10"/>
      <c r="S4" s="10"/>
      <c r="T4" s="10"/>
      <c r="U4" s="10"/>
      <c r="V4" s="10"/>
      <c r="W4" s="10"/>
      <c r="X4" s="10"/>
      <c r="Y4" s="10"/>
      <c r="Z4" s="10"/>
    </row>
    <row r="5" ht="39.0" customHeight="1">
      <c r="A5" s="7" t="s">
        <v>45</v>
      </c>
      <c r="B5" s="7" t="s">
        <v>37</v>
      </c>
      <c r="C5" s="7" t="s">
        <v>37</v>
      </c>
      <c r="D5" s="7" t="s">
        <v>37</v>
      </c>
      <c r="E5" s="7" t="s">
        <v>52</v>
      </c>
      <c r="F5" s="7" t="s">
        <v>54</v>
      </c>
      <c r="G5" s="7" t="s">
        <v>56</v>
      </c>
      <c r="H5" s="10"/>
      <c r="I5" s="10"/>
      <c r="J5" s="10"/>
      <c r="K5" s="10"/>
      <c r="L5" s="10"/>
      <c r="M5" s="10"/>
      <c r="N5" s="10"/>
      <c r="O5" s="10"/>
      <c r="P5" s="10"/>
      <c r="Q5" s="10"/>
      <c r="R5" s="10"/>
      <c r="S5" s="10"/>
      <c r="T5" s="10"/>
      <c r="U5" s="10"/>
      <c r="V5" s="10"/>
      <c r="W5" s="10"/>
      <c r="X5" s="10"/>
      <c r="Y5" s="10"/>
      <c r="Z5" s="10"/>
    </row>
    <row r="6" ht="39.0" customHeight="1">
      <c r="A6" s="13" t="s">
        <v>61</v>
      </c>
      <c r="B6" s="13" t="s">
        <v>37</v>
      </c>
      <c r="C6" s="13" t="s">
        <v>37</v>
      </c>
      <c r="D6" s="13" t="s">
        <v>37</v>
      </c>
      <c r="E6" s="13" t="s">
        <v>52</v>
      </c>
      <c r="F6" s="13" t="s">
        <v>65</v>
      </c>
      <c r="G6" s="13" t="s">
        <v>66</v>
      </c>
      <c r="H6" s="10"/>
      <c r="I6" s="10"/>
      <c r="J6" s="10"/>
      <c r="K6" s="10"/>
      <c r="L6" s="10"/>
      <c r="M6" s="10"/>
      <c r="N6" s="10"/>
      <c r="O6" s="10"/>
      <c r="P6" s="10"/>
      <c r="Q6" s="10"/>
      <c r="R6" s="10"/>
      <c r="S6" s="10"/>
      <c r="T6" s="10"/>
      <c r="U6" s="10"/>
      <c r="V6" s="10"/>
      <c r="W6" s="10"/>
      <c r="X6" s="10"/>
      <c r="Y6" s="10"/>
      <c r="Z6" s="10"/>
    </row>
    <row r="7" ht="39.0" customHeight="1">
      <c r="A7" s="7" t="s">
        <v>67</v>
      </c>
      <c r="B7" s="7" t="s">
        <v>37</v>
      </c>
      <c r="C7" s="7" t="s">
        <v>37</v>
      </c>
      <c r="D7" s="7" t="s">
        <v>37</v>
      </c>
      <c r="E7" s="7" t="s">
        <v>52</v>
      </c>
      <c r="F7" s="7" t="s">
        <v>69</v>
      </c>
      <c r="G7" s="7" t="s">
        <v>70</v>
      </c>
      <c r="H7" s="10"/>
      <c r="I7" s="10"/>
      <c r="J7" s="10"/>
      <c r="K7" s="10"/>
      <c r="L7" s="10"/>
      <c r="M7" s="10"/>
      <c r="N7" s="10"/>
      <c r="O7" s="10"/>
      <c r="P7" s="10"/>
      <c r="Q7" s="10"/>
      <c r="R7" s="10"/>
      <c r="S7" s="10"/>
      <c r="T7" s="10"/>
      <c r="U7" s="10"/>
      <c r="V7" s="10"/>
      <c r="W7" s="10"/>
      <c r="X7" s="10"/>
      <c r="Y7" s="10"/>
      <c r="Z7" s="10"/>
    </row>
    <row r="8" ht="39.0" customHeight="1">
      <c r="A8" s="13" t="s">
        <v>71</v>
      </c>
      <c r="B8" s="13" t="s">
        <v>37</v>
      </c>
      <c r="C8" s="13" t="s">
        <v>37</v>
      </c>
      <c r="D8" s="13" t="s">
        <v>37</v>
      </c>
      <c r="E8" s="13" t="s">
        <v>52</v>
      </c>
      <c r="F8" s="13" t="s">
        <v>72</v>
      </c>
      <c r="G8" s="13" t="s">
        <v>73</v>
      </c>
      <c r="H8" s="10"/>
      <c r="I8" s="10"/>
      <c r="J8" s="10"/>
      <c r="K8" s="10"/>
      <c r="L8" s="10"/>
      <c r="M8" s="10"/>
      <c r="N8" s="10"/>
      <c r="O8" s="10"/>
      <c r="P8" s="10"/>
      <c r="Q8" s="10"/>
      <c r="R8" s="10"/>
      <c r="S8" s="10"/>
      <c r="T8" s="10"/>
      <c r="U8" s="10"/>
      <c r="V8" s="10"/>
      <c r="W8" s="10"/>
      <c r="X8" s="10"/>
      <c r="Y8" s="10"/>
      <c r="Z8" s="10"/>
    </row>
    <row r="9" ht="39.0" customHeight="1">
      <c r="A9" s="7" t="s">
        <v>74</v>
      </c>
      <c r="B9" s="7" t="s">
        <v>37</v>
      </c>
      <c r="C9" s="7" t="s">
        <v>37</v>
      </c>
      <c r="D9" s="7" t="s">
        <v>37</v>
      </c>
      <c r="E9" s="7" t="s">
        <v>52</v>
      </c>
      <c r="F9" s="7" t="s">
        <v>77</v>
      </c>
      <c r="G9" s="7" t="s">
        <v>78</v>
      </c>
      <c r="H9" s="10"/>
      <c r="I9" s="10"/>
      <c r="J9" s="10"/>
      <c r="K9" s="10"/>
      <c r="L9" s="10"/>
      <c r="M9" s="10"/>
      <c r="N9" s="10"/>
      <c r="O9" s="10"/>
      <c r="P9" s="10"/>
      <c r="Q9" s="10"/>
      <c r="R9" s="10"/>
      <c r="S9" s="10"/>
      <c r="T9" s="10"/>
      <c r="U9" s="10"/>
      <c r="V9" s="10"/>
      <c r="W9" s="10"/>
      <c r="X9" s="10"/>
      <c r="Y9" s="10"/>
      <c r="Z9" s="10"/>
    </row>
    <row r="10" ht="39.0" customHeight="1">
      <c r="A10" s="13" t="s">
        <v>82</v>
      </c>
      <c r="B10" s="13" t="s">
        <v>37</v>
      </c>
      <c r="C10" s="13" t="s">
        <v>37</v>
      </c>
      <c r="D10" s="13" t="s">
        <v>37</v>
      </c>
      <c r="E10" s="13" t="s">
        <v>52</v>
      </c>
      <c r="F10" s="13" t="s">
        <v>85</v>
      </c>
      <c r="G10" s="13" t="s">
        <v>87</v>
      </c>
      <c r="H10" s="10"/>
      <c r="I10" s="10"/>
      <c r="J10" s="10"/>
      <c r="K10" s="10"/>
      <c r="L10" s="10"/>
      <c r="M10" s="10"/>
      <c r="N10" s="10"/>
      <c r="O10" s="10"/>
      <c r="P10" s="10"/>
      <c r="Q10" s="10"/>
      <c r="R10" s="10"/>
      <c r="S10" s="10"/>
      <c r="T10" s="10"/>
      <c r="U10" s="10"/>
      <c r="V10" s="10"/>
      <c r="W10" s="10"/>
      <c r="X10" s="10"/>
      <c r="Y10" s="10"/>
      <c r="Z10" s="10"/>
    </row>
    <row r="11" ht="39.0" customHeight="1">
      <c r="A11" s="7" t="s">
        <v>88</v>
      </c>
      <c r="B11" s="7" t="s">
        <v>89</v>
      </c>
      <c r="C11" s="7" t="s">
        <v>91</v>
      </c>
      <c r="D11" s="7" t="s">
        <v>37</v>
      </c>
      <c r="E11" s="7" t="s">
        <v>96</v>
      </c>
      <c r="F11" s="7" t="s">
        <v>97</v>
      </c>
      <c r="G11" s="7" t="s">
        <v>98</v>
      </c>
      <c r="H11" s="10"/>
      <c r="I11" s="10"/>
      <c r="J11" s="10"/>
      <c r="K11" s="10"/>
      <c r="L11" s="10"/>
      <c r="M11" s="10"/>
      <c r="N11" s="10"/>
      <c r="O11" s="10"/>
      <c r="P11" s="10"/>
      <c r="Q11" s="10"/>
      <c r="R11" s="10"/>
      <c r="S11" s="10"/>
      <c r="T11" s="10"/>
      <c r="U11" s="10"/>
      <c r="V11" s="10"/>
      <c r="W11" s="10"/>
      <c r="X11" s="10"/>
      <c r="Y11" s="10"/>
      <c r="Z11" s="10"/>
    </row>
    <row r="12" ht="39.0" customHeight="1">
      <c r="A12" s="13" t="s">
        <v>100</v>
      </c>
      <c r="B12" s="13" t="s">
        <v>91</v>
      </c>
      <c r="C12" s="13" t="s">
        <v>37</v>
      </c>
      <c r="D12" s="13" t="s">
        <v>37</v>
      </c>
      <c r="E12" s="13" t="s">
        <v>96</v>
      </c>
      <c r="F12" s="13" t="s">
        <v>105</v>
      </c>
      <c r="G12" s="13" t="s">
        <v>106</v>
      </c>
      <c r="H12" s="10"/>
      <c r="I12" s="10"/>
      <c r="J12" s="10"/>
      <c r="K12" s="10"/>
      <c r="L12" s="10"/>
      <c r="M12" s="10"/>
      <c r="N12" s="10"/>
      <c r="O12" s="10"/>
      <c r="P12" s="10"/>
      <c r="Q12" s="10"/>
      <c r="R12" s="10"/>
      <c r="S12" s="10"/>
      <c r="T12" s="10"/>
      <c r="U12" s="10"/>
      <c r="V12" s="10"/>
      <c r="W12" s="10"/>
      <c r="X12" s="10"/>
      <c r="Y12" s="10"/>
      <c r="Z12" s="10"/>
    </row>
    <row r="13" ht="39.0" customHeight="1">
      <c r="A13" s="7" t="s">
        <v>108</v>
      </c>
      <c r="B13" s="7" t="s">
        <v>89</v>
      </c>
      <c r="C13" s="7" t="s">
        <v>37</v>
      </c>
      <c r="D13" s="7" t="s">
        <v>37</v>
      </c>
      <c r="E13" s="7" t="s">
        <v>113</v>
      </c>
      <c r="F13" s="7" t="s">
        <v>114</v>
      </c>
      <c r="G13" s="7" t="s">
        <v>115</v>
      </c>
      <c r="H13" s="10"/>
      <c r="I13" s="10"/>
      <c r="J13" s="10"/>
      <c r="K13" s="10"/>
      <c r="L13" s="10"/>
      <c r="M13" s="10"/>
      <c r="N13" s="10"/>
      <c r="O13" s="10"/>
      <c r="P13" s="10"/>
      <c r="Q13" s="10"/>
      <c r="R13" s="10"/>
      <c r="S13" s="10"/>
      <c r="T13" s="10"/>
      <c r="U13" s="10"/>
      <c r="V13" s="10"/>
      <c r="W13" s="10"/>
      <c r="X13" s="10"/>
      <c r="Y13" s="10"/>
      <c r="Z13" s="10"/>
    </row>
    <row r="14" ht="39.0" customHeight="1">
      <c r="A14" s="13" t="s">
        <v>118</v>
      </c>
      <c r="B14" s="13" t="s">
        <v>37</v>
      </c>
      <c r="C14" s="13" t="s">
        <v>91</v>
      </c>
      <c r="D14" s="13" t="s">
        <v>91</v>
      </c>
      <c r="E14" s="13" t="s">
        <v>121</v>
      </c>
      <c r="F14" s="13" t="s">
        <v>122</v>
      </c>
      <c r="G14" s="13" t="s">
        <v>124</v>
      </c>
      <c r="H14" s="10"/>
      <c r="I14" s="10"/>
      <c r="J14" s="10"/>
      <c r="K14" s="10"/>
      <c r="L14" s="10"/>
      <c r="M14" s="10"/>
      <c r="N14" s="10"/>
      <c r="O14" s="10"/>
      <c r="P14" s="10"/>
      <c r="Q14" s="10"/>
      <c r="R14" s="10"/>
      <c r="S14" s="10"/>
      <c r="T14" s="10"/>
      <c r="U14" s="10"/>
      <c r="V14" s="10"/>
      <c r="W14" s="10"/>
      <c r="X14" s="10"/>
      <c r="Y14" s="10"/>
      <c r="Z14" s="10"/>
    </row>
    <row r="15" ht="39.0" customHeight="1">
      <c r="A15" s="20" t="s">
        <v>130</v>
      </c>
      <c r="B15" s="20" t="s">
        <v>37</v>
      </c>
      <c r="C15" s="20" t="s">
        <v>37</v>
      </c>
      <c r="D15" s="20" t="s">
        <v>91</v>
      </c>
      <c r="E15" s="20" t="s">
        <v>121</v>
      </c>
      <c r="F15" s="20" t="s">
        <v>154</v>
      </c>
      <c r="G15" s="20" t="s">
        <v>155</v>
      </c>
      <c r="H15" s="10"/>
      <c r="I15" s="10"/>
      <c r="J15" s="10"/>
      <c r="K15" s="10"/>
      <c r="L15" s="10"/>
      <c r="M15" s="10"/>
      <c r="N15" s="10"/>
      <c r="O15" s="10"/>
      <c r="P15" s="10"/>
      <c r="Q15" s="10"/>
      <c r="R15" s="10"/>
      <c r="S15" s="10"/>
      <c r="T15" s="10"/>
      <c r="U15" s="10"/>
      <c r="V15" s="10"/>
      <c r="W15" s="10"/>
      <c r="X15" s="10"/>
      <c r="Y15" s="10"/>
      <c r="Z15" s="10"/>
    </row>
    <row r="16" ht="15.7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sheetData>
  <mergeCells count="2">
    <mergeCell ref="A1:G1"/>
    <mergeCell ref="A2:G2"/>
  </mergeCells>
  <dataValidations>
    <dataValidation type="list" allowBlank="1" showInputMessage="1" showErrorMessage="1" prompt="Valor no admitido - Veredictos admitidos: Entidad, Atributo, Rol, Producto del sistema o Elemento del entorno." sqref="E5:E15">
      <formula1>"Entidad,Atributo de otra entidad,Rol de una entidad,Producto del sistema,Elemento del entorno"</formula1>
    </dataValidation>
    <dataValidation type="list" allowBlank="1" showInputMessage="1" showErrorMessage="1" prompt="Valor no admitido - Responda Sí, No o Parcialmente." sqref="B5:D15">
      <formula1>"Sí,No,Parcialmente"</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86"/>
    <col customWidth="1" min="2" max="2" width="13.71"/>
    <col customWidth="1" min="3" max="3" width="78.29"/>
    <col customWidth="1" min="4" max="4" width="106.43"/>
    <col customWidth="1" min="5" max="5" width="13.14"/>
    <col customWidth="1" min="6" max="6" width="20.0"/>
  </cols>
  <sheetData>
    <row r="1" ht="19.5" customHeight="1">
      <c r="A1" s="1" t="s">
        <v>246</v>
      </c>
      <c r="H1" s="2"/>
      <c r="I1" s="2"/>
      <c r="J1" s="2"/>
      <c r="K1" s="2"/>
      <c r="L1" s="2"/>
      <c r="M1" s="2"/>
      <c r="N1" s="2"/>
      <c r="O1" s="2"/>
      <c r="P1" s="2"/>
      <c r="Q1" s="2"/>
      <c r="R1" s="2"/>
      <c r="S1" s="2"/>
      <c r="T1" s="2"/>
      <c r="U1" s="2"/>
      <c r="V1" s="2"/>
      <c r="W1" s="2"/>
      <c r="X1" s="2"/>
      <c r="Y1" s="2"/>
      <c r="Z1" s="2"/>
    </row>
    <row r="2" ht="25.5" customHeight="1">
      <c r="A2" s="4" t="s">
        <v>247</v>
      </c>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30.0" customHeight="1">
      <c r="A4" s="6" t="s">
        <v>248</v>
      </c>
      <c r="B4" s="6" t="s">
        <v>13</v>
      </c>
      <c r="C4" s="6" t="s">
        <v>249</v>
      </c>
      <c r="D4" s="6" t="s">
        <v>250</v>
      </c>
      <c r="E4" s="6" t="s">
        <v>251</v>
      </c>
      <c r="F4" s="6" t="s">
        <v>252</v>
      </c>
      <c r="G4" s="2"/>
      <c r="H4" s="2"/>
      <c r="I4" s="2"/>
      <c r="J4" s="2"/>
      <c r="K4" s="2"/>
      <c r="L4" s="2"/>
      <c r="M4" s="2"/>
      <c r="N4" s="2"/>
      <c r="O4" s="2"/>
      <c r="P4" s="2"/>
      <c r="Q4" s="2"/>
      <c r="R4" s="2"/>
      <c r="S4" s="2"/>
      <c r="T4" s="2"/>
      <c r="U4" s="2"/>
      <c r="V4" s="2"/>
      <c r="W4" s="2"/>
      <c r="X4" s="2"/>
      <c r="Y4" s="2"/>
      <c r="Z4" s="2"/>
    </row>
    <row r="5" ht="54.0" customHeight="1">
      <c r="A5" s="25" t="s">
        <v>253</v>
      </c>
      <c r="B5" s="7" t="s">
        <v>254</v>
      </c>
      <c r="C5" s="7" t="s">
        <v>255</v>
      </c>
      <c r="D5" s="7" t="s">
        <v>256</v>
      </c>
      <c r="E5" s="7" t="s">
        <v>257</v>
      </c>
      <c r="F5" s="7" t="s">
        <v>23</v>
      </c>
      <c r="G5" s="2"/>
      <c r="H5" s="2"/>
      <c r="I5" s="2"/>
      <c r="J5" s="2"/>
      <c r="K5" s="2"/>
      <c r="L5" s="2"/>
      <c r="M5" s="2"/>
      <c r="N5" s="2"/>
      <c r="O5" s="2"/>
      <c r="P5" s="2"/>
      <c r="Q5" s="2"/>
      <c r="R5" s="2"/>
      <c r="S5" s="2"/>
      <c r="T5" s="2"/>
      <c r="U5" s="2"/>
      <c r="V5" s="2"/>
      <c r="W5" s="2"/>
      <c r="X5" s="2"/>
      <c r="Y5" s="2"/>
      <c r="Z5" s="2"/>
    </row>
    <row r="6" ht="54.0" customHeight="1">
      <c r="A6" s="13" t="s">
        <v>258</v>
      </c>
      <c r="B6" s="13" t="s">
        <v>254</v>
      </c>
      <c r="C6" s="13" t="s">
        <v>259</v>
      </c>
      <c r="D6" s="13" t="s">
        <v>149</v>
      </c>
      <c r="E6" s="13" t="s">
        <v>257</v>
      </c>
      <c r="F6" s="13" t="s">
        <v>134</v>
      </c>
      <c r="G6" s="2"/>
      <c r="H6" s="2"/>
      <c r="I6" s="2"/>
      <c r="J6" s="2"/>
      <c r="K6" s="2"/>
      <c r="L6" s="2"/>
      <c r="M6" s="2"/>
      <c r="N6" s="2"/>
      <c r="O6" s="2"/>
      <c r="P6" s="2"/>
      <c r="Q6" s="2"/>
      <c r="R6" s="2"/>
      <c r="S6" s="2"/>
      <c r="T6" s="2"/>
      <c r="U6" s="2"/>
      <c r="V6" s="2"/>
      <c r="W6" s="2"/>
      <c r="X6" s="2"/>
      <c r="Y6" s="2"/>
      <c r="Z6" s="2"/>
    </row>
    <row r="7" ht="54.0" customHeight="1">
      <c r="A7" s="7" t="s">
        <v>260</v>
      </c>
      <c r="B7" s="7" t="s">
        <v>254</v>
      </c>
      <c r="C7" s="7" t="s">
        <v>261</v>
      </c>
      <c r="D7" s="7" t="s">
        <v>262</v>
      </c>
      <c r="E7" s="7" t="s">
        <v>257</v>
      </c>
      <c r="F7" s="7" t="s">
        <v>144</v>
      </c>
      <c r="G7" s="2"/>
      <c r="H7" s="2"/>
      <c r="I7" s="2"/>
      <c r="J7" s="2"/>
      <c r="K7" s="2"/>
      <c r="L7" s="2"/>
      <c r="M7" s="2"/>
      <c r="N7" s="2"/>
      <c r="O7" s="2"/>
      <c r="P7" s="2"/>
      <c r="Q7" s="2"/>
      <c r="R7" s="2"/>
      <c r="S7" s="2"/>
      <c r="T7" s="2"/>
      <c r="U7" s="2"/>
      <c r="V7" s="2"/>
      <c r="W7" s="2"/>
      <c r="X7" s="2"/>
      <c r="Y7" s="2"/>
      <c r="Z7" s="2"/>
    </row>
    <row r="8" ht="54.0" customHeight="1">
      <c r="A8" s="13" t="s">
        <v>263</v>
      </c>
      <c r="B8" s="13" t="s">
        <v>264</v>
      </c>
      <c r="C8" s="13" t="s">
        <v>265</v>
      </c>
      <c r="D8" s="26" t="s">
        <v>266</v>
      </c>
      <c r="E8" s="13" t="s">
        <v>257</v>
      </c>
      <c r="F8" s="13" t="s">
        <v>150</v>
      </c>
      <c r="G8" s="2"/>
      <c r="H8" s="2"/>
      <c r="I8" s="2"/>
      <c r="J8" s="2"/>
      <c r="K8" s="2"/>
      <c r="L8" s="2"/>
      <c r="M8" s="2"/>
      <c r="N8" s="2"/>
      <c r="O8" s="2"/>
      <c r="P8" s="2"/>
      <c r="Q8" s="2"/>
      <c r="R8" s="2"/>
      <c r="S8" s="2"/>
      <c r="T8" s="2"/>
      <c r="U8" s="2"/>
      <c r="V8" s="2"/>
      <c r="W8" s="2"/>
      <c r="X8" s="2"/>
      <c r="Y8" s="2"/>
      <c r="Z8" s="2"/>
    </row>
    <row r="9" ht="54.0" customHeight="1">
      <c r="A9" s="7" t="s">
        <v>267</v>
      </c>
      <c r="B9" s="7" t="s">
        <v>254</v>
      </c>
      <c r="C9" s="7" t="s">
        <v>268</v>
      </c>
      <c r="D9" s="7" t="s">
        <v>269</v>
      </c>
      <c r="E9" s="7" t="s">
        <v>257</v>
      </c>
      <c r="F9" s="7" t="s">
        <v>171</v>
      </c>
      <c r="G9" s="2"/>
      <c r="H9" s="2"/>
      <c r="I9" s="2"/>
      <c r="J9" s="2"/>
      <c r="K9" s="2"/>
      <c r="L9" s="2"/>
      <c r="M9" s="2"/>
      <c r="N9" s="2"/>
      <c r="O9" s="2"/>
      <c r="P9" s="2"/>
      <c r="Q9" s="2"/>
      <c r="R9" s="2"/>
      <c r="S9" s="2"/>
      <c r="T9" s="2"/>
      <c r="U9" s="2"/>
      <c r="V9" s="2"/>
      <c r="W9" s="2"/>
      <c r="X9" s="2"/>
      <c r="Y9" s="2"/>
      <c r="Z9" s="2"/>
    </row>
    <row r="10" ht="54.0" customHeight="1">
      <c r="A10" s="13" t="s">
        <v>270</v>
      </c>
      <c r="B10" s="13" t="s">
        <v>271</v>
      </c>
      <c r="C10" s="13" t="s">
        <v>272</v>
      </c>
      <c r="D10" s="13" t="s">
        <v>204</v>
      </c>
      <c r="E10" s="13" t="s">
        <v>257</v>
      </c>
      <c r="F10" s="13" t="s">
        <v>205</v>
      </c>
      <c r="G10" s="2"/>
      <c r="H10" s="2"/>
      <c r="I10" s="2"/>
      <c r="J10" s="2"/>
      <c r="K10" s="2"/>
      <c r="L10" s="2"/>
      <c r="M10" s="2"/>
      <c r="N10" s="2"/>
      <c r="O10" s="2"/>
      <c r="P10" s="2"/>
      <c r="Q10" s="2"/>
      <c r="R10" s="2"/>
      <c r="S10" s="2"/>
      <c r="T10" s="2"/>
      <c r="U10" s="2"/>
      <c r="V10" s="2"/>
      <c r="W10" s="2"/>
      <c r="X10" s="2"/>
      <c r="Y10" s="2"/>
      <c r="Z10" s="2"/>
    </row>
    <row r="11" ht="54.0" customHeight="1">
      <c r="A11" s="7" t="s">
        <v>273</v>
      </c>
      <c r="B11" s="7" t="s">
        <v>264</v>
      </c>
      <c r="C11" s="7" t="s">
        <v>274</v>
      </c>
      <c r="D11" s="7" t="s">
        <v>275</v>
      </c>
      <c r="E11" s="7" t="s">
        <v>257</v>
      </c>
      <c r="F11" s="7" t="s">
        <v>99</v>
      </c>
      <c r="G11" s="2"/>
      <c r="H11" s="2"/>
      <c r="I11" s="2"/>
      <c r="J11" s="2"/>
      <c r="K11" s="2"/>
      <c r="L11" s="2"/>
      <c r="M11" s="2"/>
      <c r="N11" s="2"/>
      <c r="O11" s="2"/>
      <c r="P11" s="2"/>
      <c r="Q11" s="2"/>
      <c r="R11" s="2"/>
      <c r="S11" s="2"/>
      <c r="T11" s="2"/>
      <c r="U11" s="2"/>
      <c r="V11" s="2"/>
      <c r="W11" s="2"/>
      <c r="X11" s="2"/>
      <c r="Y11" s="2"/>
      <c r="Z11" s="2"/>
    </row>
    <row r="12" ht="54.0" customHeight="1">
      <c r="A12" s="13" t="s">
        <v>276</v>
      </c>
      <c r="B12" s="13" t="s">
        <v>264</v>
      </c>
      <c r="C12" s="13" t="s">
        <v>277</v>
      </c>
      <c r="D12" s="13" t="s">
        <v>278</v>
      </c>
      <c r="E12" s="13" t="s">
        <v>226</v>
      </c>
      <c r="F12" s="13"/>
      <c r="G12" s="2"/>
      <c r="H12" s="2"/>
      <c r="I12" s="2"/>
      <c r="J12" s="2"/>
      <c r="K12" s="2"/>
      <c r="L12" s="2"/>
      <c r="M12" s="2"/>
      <c r="N12" s="2"/>
      <c r="O12" s="2"/>
      <c r="P12" s="2"/>
      <c r="Q12" s="2"/>
      <c r="R12" s="2"/>
      <c r="S12" s="2"/>
      <c r="T12" s="2"/>
      <c r="U12" s="2"/>
      <c r="V12" s="2"/>
      <c r="W12" s="2"/>
      <c r="X12" s="2"/>
      <c r="Y12" s="2"/>
      <c r="Z12" s="2"/>
    </row>
    <row r="13" ht="33.75" customHeight="1">
      <c r="A13" s="27" t="s">
        <v>279</v>
      </c>
      <c r="B13" s="27"/>
      <c r="C13" s="27"/>
      <c r="D13" s="27"/>
      <c r="E13" s="27"/>
      <c r="F13" s="27"/>
      <c r="G13" s="2"/>
      <c r="H13" s="2"/>
      <c r="I13" s="2"/>
      <c r="J13" s="2"/>
      <c r="K13" s="2"/>
      <c r="L13" s="2"/>
      <c r="M13" s="2"/>
      <c r="N13" s="2"/>
      <c r="O13" s="2"/>
      <c r="P13" s="2"/>
      <c r="Q13" s="2"/>
      <c r="R13" s="2"/>
      <c r="S13" s="2"/>
      <c r="T13" s="2"/>
      <c r="U13" s="2"/>
      <c r="V13" s="2"/>
      <c r="W13" s="2"/>
      <c r="X13" s="2"/>
      <c r="Y13" s="2"/>
      <c r="Z13" s="2"/>
    </row>
    <row r="14" ht="33.75" customHeight="1">
      <c r="A14" s="28" t="s">
        <v>280</v>
      </c>
      <c r="B14" s="28"/>
      <c r="C14" s="28"/>
      <c r="D14" s="28"/>
      <c r="E14" s="28"/>
      <c r="F14" s="28"/>
      <c r="G14" s="2"/>
      <c r="H14" s="2"/>
      <c r="I14" s="2"/>
      <c r="J14" s="2"/>
      <c r="K14" s="2"/>
      <c r="L14" s="2"/>
      <c r="M14" s="2"/>
      <c r="N14" s="2"/>
      <c r="O14" s="2"/>
      <c r="P14" s="2"/>
      <c r="Q14" s="2"/>
      <c r="R14" s="2"/>
      <c r="S14" s="2"/>
      <c r="T14" s="2"/>
      <c r="U14" s="2"/>
      <c r="V14" s="2"/>
      <c r="W14" s="2"/>
      <c r="X14" s="2"/>
      <c r="Y14" s="2"/>
      <c r="Z14" s="2"/>
    </row>
    <row r="15" ht="33.75" customHeight="1">
      <c r="A15" s="27" t="s">
        <v>281</v>
      </c>
      <c r="B15" s="27"/>
      <c r="C15" s="27"/>
      <c r="D15" s="27"/>
      <c r="E15" s="27"/>
      <c r="F15" s="27"/>
      <c r="G15" s="2"/>
      <c r="H15" s="2"/>
      <c r="I15" s="2"/>
      <c r="J15" s="2"/>
      <c r="K15" s="2"/>
      <c r="L15" s="2"/>
      <c r="M15" s="2"/>
      <c r="N15" s="2"/>
      <c r="O15" s="2"/>
      <c r="P15" s="2"/>
      <c r="Q15" s="2"/>
      <c r="R15" s="2"/>
      <c r="S15" s="2"/>
      <c r="T15" s="2"/>
      <c r="U15" s="2"/>
      <c r="V15" s="2"/>
      <c r="W15" s="2"/>
      <c r="X15" s="2"/>
      <c r="Y15" s="2"/>
      <c r="Z15" s="2"/>
    </row>
    <row r="16" ht="33.75" customHeight="1">
      <c r="A16" s="28" t="s">
        <v>282</v>
      </c>
      <c r="B16" s="28"/>
      <c r="C16" s="28"/>
      <c r="D16" s="28"/>
      <c r="E16" s="28"/>
      <c r="F16" s="28"/>
      <c r="G16" s="2"/>
      <c r="H16" s="2"/>
      <c r="I16" s="2"/>
      <c r="J16" s="2"/>
      <c r="K16" s="2"/>
      <c r="L16" s="2"/>
      <c r="M16" s="2"/>
      <c r="N16" s="2"/>
      <c r="O16" s="2"/>
      <c r="P16" s="2"/>
      <c r="Q16" s="2"/>
      <c r="R16" s="2"/>
      <c r="S16" s="2"/>
      <c r="T16" s="2"/>
      <c r="U16" s="2"/>
      <c r="V16" s="2"/>
      <c r="W16" s="2"/>
      <c r="X16" s="2"/>
      <c r="Y16" s="2"/>
      <c r="Z16" s="2"/>
    </row>
    <row r="17" ht="33.75" customHeight="1">
      <c r="A17" s="27" t="s">
        <v>283</v>
      </c>
      <c r="B17" s="27"/>
      <c r="C17" s="27"/>
      <c r="D17" s="27"/>
      <c r="E17" s="27"/>
      <c r="F17" s="27"/>
      <c r="G17" s="2"/>
      <c r="H17" s="2"/>
      <c r="I17" s="2"/>
      <c r="J17" s="2"/>
      <c r="K17" s="2"/>
      <c r="L17" s="2"/>
      <c r="M17" s="2"/>
      <c r="N17" s="2"/>
      <c r="O17" s="2"/>
      <c r="P17" s="2"/>
      <c r="Q17" s="2"/>
      <c r="R17" s="2"/>
      <c r="S17" s="2"/>
      <c r="T17" s="2"/>
      <c r="U17" s="2"/>
      <c r="V17" s="2"/>
      <c r="W17" s="2"/>
      <c r="X17" s="2"/>
      <c r="Y17" s="2"/>
      <c r="Z17" s="2"/>
    </row>
    <row r="18" ht="33.75" customHeight="1">
      <c r="A18" s="28" t="s">
        <v>284</v>
      </c>
      <c r="B18" s="28"/>
      <c r="C18" s="28"/>
      <c r="D18" s="28"/>
      <c r="E18" s="28"/>
      <c r="F18" s="28"/>
      <c r="G18" s="2"/>
      <c r="H18" s="2"/>
      <c r="I18" s="2"/>
      <c r="J18" s="2"/>
      <c r="K18" s="2"/>
      <c r="L18" s="2"/>
      <c r="M18" s="2"/>
      <c r="N18" s="2"/>
      <c r="O18" s="2"/>
      <c r="P18" s="2"/>
      <c r="Q18" s="2"/>
      <c r="R18" s="2"/>
      <c r="S18" s="2"/>
      <c r="T18" s="2"/>
      <c r="U18" s="2"/>
      <c r="V18" s="2"/>
      <c r="W18" s="2"/>
      <c r="X18" s="2"/>
      <c r="Y18" s="2"/>
      <c r="Z18" s="2"/>
    </row>
    <row r="19" ht="33.75" customHeight="1">
      <c r="A19" s="27" t="s">
        <v>285</v>
      </c>
      <c r="B19" s="27"/>
      <c r="C19" s="27"/>
      <c r="D19" s="27"/>
      <c r="E19" s="27"/>
      <c r="F19" s="27"/>
      <c r="G19" s="2"/>
      <c r="H19" s="2"/>
      <c r="I19" s="2"/>
      <c r="J19" s="2"/>
      <c r="K19" s="2"/>
      <c r="L19" s="2"/>
      <c r="M19" s="2"/>
      <c r="N19" s="2"/>
      <c r="O19" s="2"/>
      <c r="P19" s="2"/>
      <c r="Q19" s="2"/>
      <c r="R19" s="2"/>
      <c r="S19" s="2"/>
      <c r="T19" s="2"/>
      <c r="U19" s="2"/>
      <c r="V19" s="2"/>
      <c r="W19" s="2"/>
      <c r="X19" s="2"/>
      <c r="Y19" s="2"/>
      <c r="Z19" s="2"/>
    </row>
    <row r="20" ht="33.75" customHeight="1">
      <c r="A20" s="28" t="s">
        <v>286</v>
      </c>
      <c r="B20" s="28"/>
      <c r="C20" s="28"/>
      <c r="D20" s="28"/>
      <c r="E20" s="28"/>
      <c r="F20" s="28"/>
      <c r="G20" s="2"/>
      <c r="H20" s="2"/>
      <c r="I20" s="2"/>
      <c r="J20" s="2"/>
      <c r="K20" s="2"/>
      <c r="L20" s="2"/>
      <c r="M20" s="2"/>
      <c r="N20" s="2"/>
      <c r="O20" s="2"/>
      <c r="P20" s="2"/>
      <c r="Q20" s="2"/>
      <c r="R20" s="2"/>
      <c r="S20" s="2"/>
      <c r="T20" s="2"/>
      <c r="U20" s="2"/>
      <c r="V20" s="2"/>
      <c r="W20" s="2"/>
      <c r="X20" s="2"/>
      <c r="Y20" s="2"/>
      <c r="Z20" s="2"/>
    </row>
    <row r="21" ht="33.75" customHeight="1">
      <c r="A21" s="27" t="s">
        <v>287</v>
      </c>
      <c r="B21" s="27"/>
      <c r="C21" s="27"/>
      <c r="D21" s="27"/>
      <c r="E21" s="27"/>
      <c r="F21" s="27"/>
      <c r="G21" s="2"/>
      <c r="H21" s="2"/>
      <c r="I21" s="2"/>
      <c r="J21" s="2"/>
      <c r="K21" s="2"/>
      <c r="L21" s="2"/>
      <c r="M21" s="2"/>
      <c r="N21" s="2"/>
      <c r="O21" s="2"/>
      <c r="P21" s="2"/>
      <c r="Q21" s="2"/>
      <c r="R21" s="2"/>
      <c r="S21" s="2"/>
      <c r="T21" s="2"/>
      <c r="U21" s="2"/>
      <c r="V21" s="2"/>
      <c r="W21" s="2"/>
      <c r="X21" s="2"/>
      <c r="Y21" s="2"/>
      <c r="Z21" s="2"/>
    </row>
    <row r="22" ht="33.75" customHeight="1">
      <c r="A22" s="28" t="s">
        <v>288</v>
      </c>
      <c r="B22" s="28"/>
      <c r="C22" s="28"/>
      <c r="D22" s="28"/>
      <c r="E22" s="28"/>
      <c r="F22" s="28"/>
      <c r="G22" s="2"/>
      <c r="H22" s="2"/>
      <c r="I22" s="2"/>
      <c r="J22" s="2"/>
      <c r="K22" s="2"/>
      <c r="L22" s="2"/>
      <c r="M22" s="2"/>
      <c r="N22" s="2"/>
      <c r="O22" s="2"/>
      <c r="P22" s="2"/>
      <c r="Q22" s="2"/>
      <c r="R22" s="2"/>
      <c r="S22" s="2"/>
      <c r="T22" s="2"/>
      <c r="U22" s="2"/>
      <c r="V22" s="2"/>
      <c r="W22" s="2"/>
      <c r="X22" s="2"/>
      <c r="Y22" s="2"/>
      <c r="Z22" s="2"/>
    </row>
    <row r="23" ht="33.75" customHeight="1">
      <c r="A23" s="27" t="s">
        <v>289</v>
      </c>
      <c r="B23" s="27"/>
      <c r="C23" s="27"/>
      <c r="D23" s="27"/>
      <c r="E23" s="27"/>
      <c r="F23" s="27"/>
      <c r="G23" s="2"/>
      <c r="H23" s="2"/>
      <c r="I23" s="2"/>
      <c r="J23" s="2"/>
      <c r="K23" s="2"/>
      <c r="L23" s="2"/>
      <c r="M23" s="2"/>
      <c r="N23" s="2"/>
      <c r="O23" s="2"/>
      <c r="P23" s="2"/>
      <c r="Q23" s="2"/>
      <c r="R23" s="2"/>
      <c r="S23" s="2"/>
      <c r="T23" s="2"/>
      <c r="U23" s="2"/>
      <c r="V23" s="2"/>
      <c r="W23" s="2"/>
      <c r="X23" s="2"/>
      <c r="Y23" s="2"/>
      <c r="Z23" s="2"/>
    </row>
    <row r="24" ht="33.75" customHeight="1">
      <c r="A24" s="28" t="s">
        <v>290</v>
      </c>
      <c r="B24" s="28"/>
      <c r="C24" s="28"/>
      <c r="D24" s="28"/>
      <c r="E24" s="28"/>
      <c r="F24" s="28"/>
      <c r="G24" s="2"/>
      <c r="H24" s="2"/>
      <c r="I24" s="2"/>
      <c r="J24" s="2"/>
      <c r="K24" s="2"/>
      <c r="L24" s="2"/>
      <c r="M24" s="2"/>
      <c r="N24" s="2"/>
      <c r="O24" s="2"/>
      <c r="P24" s="2"/>
      <c r="Q24" s="2"/>
      <c r="R24" s="2"/>
      <c r="S24" s="2"/>
      <c r="T24" s="2"/>
      <c r="U24" s="2"/>
      <c r="V24" s="2"/>
      <c r="W24" s="2"/>
      <c r="X24" s="2"/>
      <c r="Y24" s="2"/>
      <c r="Z24" s="2"/>
    </row>
    <row r="25" ht="33.75" customHeight="1">
      <c r="A25" s="27" t="s">
        <v>291</v>
      </c>
      <c r="B25" s="27"/>
      <c r="C25" s="27"/>
      <c r="D25" s="27"/>
      <c r="E25" s="27"/>
      <c r="F25" s="27"/>
      <c r="G25" s="2"/>
      <c r="H25" s="2"/>
      <c r="I25" s="2"/>
      <c r="J25" s="2"/>
      <c r="K25" s="2"/>
      <c r="L25" s="2"/>
      <c r="M25" s="2"/>
      <c r="N25" s="2"/>
      <c r="O25" s="2"/>
      <c r="P25" s="2"/>
      <c r="Q25" s="2"/>
      <c r="R25" s="2"/>
      <c r="S25" s="2"/>
      <c r="T25" s="2"/>
      <c r="U25" s="2"/>
      <c r="V25" s="2"/>
      <c r="W25" s="2"/>
      <c r="X25" s="2"/>
      <c r="Y25" s="2"/>
      <c r="Z25" s="2"/>
    </row>
    <row r="26" ht="33.75" customHeight="1">
      <c r="A26" s="28" t="s">
        <v>292</v>
      </c>
      <c r="B26" s="28"/>
      <c r="C26" s="28"/>
      <c r="D26" s="28"/>
      <c r="E26" s="28"/>
      <c r="F26" s="28"/>
      <c r="G26" s="2"/>
      <c r="H26" s="2"/>
      <c r="I26" s="2"/>
      <c r="J26" s="2"/>
      <c r="K26" s="2"/>
      <c r="L26" s="2"/>
      <c r="M26" s="2"/>
      <c r="N26" s="2"/>
      <c r="O26" s="2"/>
      <c r="P26" s="2"/>
      <c r="Q26" s="2"/>
      <c r="R26" s="2"/>
      <c r="S26" s="2"/>
      <c r="T26" s="2"/>
      <c r="U26" s="2"/>
      <c r="V26" s="2"/>
      <c r="W26" s="2"/>
      <c r="X26" s="2"/>
      <c r="Y26" s="2"/>
      <c r="Z26" s="2"/>
    </row>
    <row r="27" ht="33.75" customHeight="1">
      <c r="A27" s="27" t="s">
        <v>293</v>
      </c>
      <c r="B27" s="27"/>
      <c r="C27" s="27"/>
      <c r="D27" s="27"/>
      <c r="E27" s="27"/>
      <c r="F27" s="27"/>
      <c r="G27" s="2"/>
      <c r="H27" s="2"/>
      <c r="I27" s="2"/>
      <c r="J27" s="2"/>
      <c r="K27" s="2"/>
      <c r="L27" s="2"/>
      <c r="M27" s="2"/>
      <c r="N27" s="2"/>
      <c r="O27" s="2"/>
      <c r="P27" s="2"/>
      <c r="Q27" s="2"/>
      <c r="R27" s="2"/>
      <c r="S27" s="2"/>
      <c r="T27" s="2"/>
      <c r="U27" s="2"/>
      <c r="V27" s="2"/>
      <c r="W27" s="2"/>
      <c r="X27" s="2"/>
      <c r="Y27" s="2"/>
      <c r="Z27" s="2"/>
    </row>
    <row r="28" ht="33.75" customHeight="1">
      <c r="A28" s="28" t="s">
        <v>294</v>
      </c>
      <c r="B28" s="28"/>
      <c r="C28" s="28"/>
      <c r="D28" s="28"/>
      <c r="E28" s="28"/>
      <c r="F28" s="28"/>
      <c r="G28" s="2"/>
      <c r="H28" s="2"/>
      <c r="I28" s="2"/>
      <c r="J28" s="2"/>
      <c r="K28" s="2"/>
      <c r="L28" s="2"/>
      <c r="M28" s="2"/>
      <c r="N28" s="2"/>
      <c r="O28" s="2"/>
      <c r="P28" s="2"/>
      <c r="Q28" s="2"/>
      <c r="R28" s="2"/>
      <c r="S28" s="2"/>
      <c r="T28" s="2"/>
      <c r="U28" s="2"/>
      <c r="V28" s="2"/>
      <c r="W28" s="2"/>
      <c r="X28" s="2"/>
      <c r="Y28" s="2"/>
      <c r="Z28" s="2"/>
    </row>
    <row r="29" ht="33.75" customHeight="1">
      <c r="A29" s="27" t="s">
        <v>295</v>
      </c>
      <c r="B29" s="27"/>
      <c r="C29" s="27"/>
      <c r="D29" s="27"/>
      <c r="E29" s="27"/>
      <c r="F29" s="27"/>
      <c r="G29" s="2"/>
      <c r="H29" s="2"/>
      <c r="I29" s="2"/>
      <c r="J29" s="2"/>
      <c r="K29" s="2"/>
      <c r="L29" s="2"/>
      <c r="M29" s="2"/>
      <c r="N29" s="2"/>
      <c r="O29" s="2"/>
      <c r="P29" s="2"/>
      <c r="Q29" s="2"/>
      <c r="R29" s="2"/>
      <c r="S29" s="2"/>
      <c r="T29" s="2"/>
      <c r="U29" s="2"/>
      <c r="V29" s="2"/>
      <c r="W29" s="2"/>
      <c r="X29" s="2"/>
      <c r="Y29" s="2"/>
      <c r="Z29" s="2"/>
    </row>
    <row r="30" ht="33.75" customHeight="1">
      <c r="A30" s="28" t="s">
        <v>296</v>
      </c>
      <c r="B30" s="28"/>
      <c r="C30" s="28"/>
      <c r="D30" s="28"/>
      <c r="E30" s="28"/>
      <c r="F30" s="28"/>
      <c r="G30" s="2"/>
      <c r="H30" s="2"/>
      <c r="I30" s="2"/>
      <c r="J30" s="2"/>
      <c r="K30" s="2"/>
      <c r="L30" s="2"/>
      <c r="M30" s="2"/>
      <c r="N30" s="2"/>
      <c r="O30" s="2"/>
      <c r="P30" s="2"/>
      <c r="Q30" s="2"/>
      <c r="R30" s="2"/>
      <c r="S30" s="2"/>
      <c r="T30" s="2"/>
      <c r="U30" s="2"/>
      <c r="V30" s="2"/>
      <c r="W30" s="2"/>
      <c r="X30" s="2"/>
      <c r="Y30" s="2"/>
      <c r="Z30" s="2"/>
    </row>
    <row r="31" ht="33.75" customHeight="1">
      <c r="A31" s="27" t="s">
        <v>297</v>
      </c>
      <c r="B31" s="27"/>
      <c r="C31" s="27"/>
      <c r="D31" s="27"/>
      <c r="E31" s="27"/>
      <c r="F31" s="27"/>
      <c r="G31" s="2"/>
      <c r="H31" s="2"/>
      <c r="I31" s="2"/>
      <c r="J31" s="2"/>
      <c r="K31" s="2"/>
      <c r="L31" s="2"/>
      <c r="M31" s="2"/>
      <c r="N31" s="2"/>
      <c r="O31" s="2"/>
      <c r="P31" s="2"/>
      <c r="Q31" s="2"/>
      <c r="R31" s="2"/>
      <c r="S31" s="2"/>
      <c r="T31" s="2"/>
      <c r="U31" s="2"/>
      <c r="V31" s="2"/>
      <c r="W31" s="2"/>
      <c r="X31" s="2"/>
      <c r="Y31" s="2"/>
      <c r="Z31" s="2"/>
    </row>
    <row r="32" ht="33.75" customHeight="1">
      <c r="A32" s="28" t="s">
        <v>298</v>
      </c>
      <c r="B32" s="28"/>
      <c r="C32" s="28"/>
      <c r="D32" s="28"/>
      <c r="E32" s="28"/>
      <c r="F32" s="28"/>
      <c r="G32" s="2"/>
      <c r="H32" s="2"/>
      <c r="I32" s="2"/>
      <c r="J32" s="2"/>
      <c r="K32" s="2"/>
      <c r="L32" s="2"/>
      <c r="M32" s="2"/>
      <c r="N32" s="2"/>
      <c r="O32" s="2"/>
      <c r="P32" s="2"/>
      <c r="Q32" s="2"/>
      <c r="R32" s="2"/>
      <c r="S32" s="2"/>
      <c r="T32" s="2"/>
      <c r="U32" s="2"/>
      <c r="V32" s="2"/>
      <c r="W32" s="2"/>
      <c r="X32" s="2"/>
      <c r="Y32" s="2"/>
      <c r="Z32" s="2"/>
    </row>
    <row r="33" ht="33.75" customHeight="1">
      <c r="A33" s="27" t="s">
        <v>299</v>
      </c>
      <c r="B33" s="27"/>
      <c r="C33" s="27"/>
      <c r="D33" s="27"/>
      <c r="E33" s="27"/>
      <c r="F33" s="27"/>
      <c r="G33" s="2"/>
      <c r="H33" s="2"/>
      <c r="I33" s="2"/>
      <c r="J33" s="2"/>
      <c r="K33" s="2"/>
      <c r="L33" s="2"/>
      <c r="M33" s="2"/>
      <c r="N33" s="2"/>
      <c r="O33" s="2"/>
      <c r="P33" s="2"/>
      <c r="Q33" s="2"/>
      <c r="R33" s="2"/>
      <c r="S33" s="2"/>
      <c r="T33" s="2"/>
      <c r="U33" s="2"/>
      <c r="V33" s="2"/>
      <c r="W33" s="2"/>
      <c r="X33" s="2"/>
      <c r="Y33" s="2"/>
      <c r="Z33" s="2"/>
    </row>
    <row r="34" ht="33.75" customHeight="1">
      <c r="A34" s="28" t="s">
        <v>300</v>
      </c>
      <c r="B34" s="28"/>
      <c r="C34" s="28"/>
      <c r="D34" s="28"/>
      <c r="E34" s="28"/>
      <c r="F34" s="28"/>
      <c r="G34" s="2"/>
      <c r="H34" s="2"/>
      <c r="I34" s="2"/>
      <c r="J34" s="2"/>
      <c r="K34" s="2"/>
      <c r="L34" s="2"/>
      <c r="M34" s="2"/>
      <c r="N34" s="2"/>
      <c r="O34" s="2"/>
      <c r="P34" s="2"/>
      <c r="Q34" s="2"/>
      <c r="R34" s="2"/>
      <c r="S34" s="2"/>
      <c r="T34" s="2"/>
      <c r="U34" s="2"/>
      <c r="V34" s="2"/>
      <c r="W34" s="2"/>
      <c r="X34" s="2"/>
      <c r="Y34" s="2"/>
      <c r="Z34" s="2"/>
    </row>
    <row r="35" ht="33.75" customHeight="1">
      <c r="A35" s="27" t="s">
        <v>301</v>
      </c>
      <c r="B35" s="27"/>
      <c r="C35" s="27"/>
      <c r="D35" s="27"/>
      <c r="E35" s="27"/>
      <c r="F35" s="27"/>
      <c r="G35" s="2"/>
      <c r="H35" s="2"/>
      <c r="I35" s="2"/>
      <c r="J35" s="2"/>
      <c r="K35" s="2"/>
      <c r="L35" s="2"/>
      <c r="M35" s="2"/>
      <c r="N35" s="2"/>
      <c r="O35" s="2"/>
      <c r="P35" s="2"/>
      <c r="Q35" s="2"/>
      <c r="R35" s="2"/>
      <c r="S35" s="2"/>
      <c r="T35" s="2"/>
      <c r="U35" s="2"/>
      <c r="V35" s="2"/>
      <c r="W35" s="2"/>
      <c r="X35" s="2"/>
      <c r="Y35" s="2"/>
      <c r="Z35" s="2"/>
    </row>
    <row r="36" ht="33.75" customHeight="1">
      <c r="A36" s="28" t="s">
        <v>303</v>
      </c>
      <c r="B36" s="28"/>
      <c r="C36" s="28"/>
      <c r="D36" s="28"/>
      <c r="E36" s="28"/>
      <c r="F36" s="28"/>
      <c r="G36" s="2"/>
      <c r="H36" s="2"/>
      <c r="I36" s="2"/>
      <c r="J36" s="2"/>
      <c r="K36" s="2"/>
      <c r="L36" s="2"/>
      <c r="M36" s="2"/>
      <c r="N36" s="2"/>
      <c r="O36" s="2"/>
      <c r="P36" s="2"/>
      <c r="Q36" s="2"/>
      <c r="R36" s="2"/>
      <c r="S36" s="2"/>
      <c r="T36" s="2"/>
      <c r="U36" s="2"/>
      <c r="V36" s="2"/>
      <c r="W36" s="2"/>
      <c r="X36" s="2"/>
      <c r="Y36" s="2"/>
      <c r="Z36" s="2"/>
    </row>
    <row r="37" ht="33.75" customHeight="1">
      <c r="A37" s="27" t="s">
        <v>304</v>
      </c>
      <c r="B37" s="27"/>
      <c r="C37" s="27"/>
      <c r="D37" s="27"/>
      <c r="E37" s="27"/>
      <c r="F37" s="27"/>
      <c r="G37" s="2"/>
      <c r="H37" s="2"/>
      <c r="I37" s="2"/>
      <c r="J37" s="2"/>
      <c r="K37" s="2"/>
      <c r="L37" s="2"/>
      <c r="M37" s="2"/>
      <c r="N37" s="2"/>
      <c r="O37" s="2"/>
      <c r="P37" s="2"/>
      <c r="Q37" s="2"/>
      <c r="R37" s="2"/>
      <c r="S37" s="2"/>
      <c r="T37" s="2"/>
      <c r="U37" s="2"/>
      <c r="V37" s="2"/>
      <c r="W37" s="2"/>
      <c r="X37" s="2"/>
      <c r="Y37" s="2"/>
      <c r="Z37" s="2"/>
    </row>
    <row r="38" ht="33.75" customHeight="1">
      <c r="A38" s="28" t="s">
        <v>305</v>
      </c>
      <c r="B38" s="28"/>
      <c r="C38" s="28"/>
      <c r="D38" s="28"/>
      <c r="E38" s="28"/>
      <c r="F38" s="28"/>
      <c r="G38" s="2"/>
      <c r="H38" s="2"/>
      <c r="I38" s="2"/>
      <c r="J38" s="2"/>
      <c r="K38" s="2"/>
      <c r="L38" s="2"/>
      <c r="M38" s="2"/>
      <c r="N38" s="2"/>
      <c r="O38" s="2"/>
      <c r="P38" s="2"/>
      <c r="Q38" s="2"/>
      <c r="R38" s="2"/>
      <c r="S38" s="2"/>
      <c r="T38" s="2"/>
      <c r="U38" s="2"/>
      <c r="V38" s="2"/>
      <c r="W38" s="2"/>
      <c r="X38" s="2"/>
      <c r="Y38" s="2"/>
      <c r="Z38" s="2"/>
    </row>
    <row r="39" ht="33.75" customHeight="1">
      <c r="A39" s="27" t="s">
        <v>307</v>
      </c>
      <c r="B39" s="27"/>
      <c r="C39" s="27"/>
      <c r="D39" s="27"/>
      <c r="E39" s="27"/>
      <c r="F39" s="27"/>
      <c r="G39" s="2"/>
      <c r="H39" s="2"/>
      <c r="I39" s="2"/>
      <c r="J39" s="2"/>
      <c r="K39" s="2"/>
      <c r="L39" s="2"/>
      <c r="M39" s="2"/>
      <c r="N39" s="2"/>
      <c r="O39" s="2"/>
      <c r="P39" s="2"/>
      <c r="Q39" s="2"/>
      <c r="R39" s="2"/>
      <c r="S39" s="2"/>
      <c r="T39" s="2"/>
      <c r="U39" s="2"/>
      <c r="V39" s="2"/>
      <c r="W39" s="2"/>
      <c r="X39" s="2"/>
      <c r="Y39" s="2"/>
      <c r="Z39" s="2"/>
    </row>
    <row r="40" ht="33.75" customHeight="1">
      <c r="A40" s="28" t="s">
        <v>308</v>
      </c>
      <c r="B40" s="28"/>
      <c r="C40" s="28"/>
      <c r="D40" s="28"/>
      <c r="E40" s="28"/>
      <c r="F40" s="28"/>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G1"/>
    <mergeCell ref="A2:G2"/>
  </mergeCells>
  <dataValidations>
    <dataValidation type="list" allowBlank="1" showInputMessage="1" showErrorMessage="1" prompt="Valor no admitido - Estados admitidos: Validada, Pendiente o En disputa." sqref="E5:E40">
      <formula1>"Validada,Pendiente,En disputa"</formula1>
    </dataValidation>
    <dataValidation type="list" allowBlank="1" showInputMessage="1" showErrorMessage="1" prompt="Valor no admitido - Tipos admitidos: Restricción, Derivación o Existencia." sqref="B5:B40">
      <formula1>"Restricción,Derivación,Existencia"</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6.29"/>
    <col customWidth="1" min="2" max="2" width="79.0"/>
    <col customWidth="1" min="3" max="3" width="78.71"/>
    <col customWidth="1" min="4" max="4" width="34.71"/>
    <col customWidth="1" min="5" max="5" width="11.86"/>
    <col customWidth="1" min="6" max="6" width="8.71"/>
  </cols>
  <sheetData>
    <row r="1" ht="19.5" customHeight="1">
      <c r="A1" s="1" t="s">
        <v>302</v>
      </c>
      <c r="H1" s="2"/>
      <c r="I1" s="2"/>
      <c r="J1" s="2"/>
      <c r="K1" s="2"/>
      <c r="L1" s="2"/>
      <c r="M1" s="2"/>
      <c r="N1" s="2"/>
      <c r="O1" s="2"/>
      <c r="P1" s="2"/>
      <c r="Q1" s="2"/>
      <c r="R1" s="2"/>
      <c r="S1" s="2"/>
      <c r="T1" s="2"/>
      <c r="U1" s="2"/>
      <c r="V1" s="2"/>
      <c r="W1" s="2"/>
      <c r="X1" s="2"/>
      <c r="Y1" s="2"/>
      <c r="Z1" s="2"/>
    </row>
    <row r="2" ht="25.5" customHeight="1">
      <c r="A2" s="4" t="s">
        <v>306</v>
      </c>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30.0" customHeight="1">
      <c r="A4" s="6" t="s">
        <v>309</v>
      </c>
      <c r="B4" s="6" t="s">
        <v>310</v>
      </c>
      <c r="C4" s="6" t="s">
        <v>311</v>
      </c>
      <c r="D4" s="6" t="s">
        <v>312</v>
      </c>
      <c r="E4" s="6" t="s">
        <v>313</v>
      </c>
      <c r="F4" s="2"/>
      <c r="G4" s="2"/>
      <c r="H4" s="2"/>
      <c r="I4" s="2"/>
      <c r="J4" s="2"/>
      <c r="K4" s="2"/>
      <c r="L4" s="2"/>
      <c r="M4" s="2"/>
      <c r="N4" s="2"/>
      <c r="O4" s="2"/>
      <c r="P4" s="2"/>
      <c r="Q4" s="2"/>
      <c r="R4" s="2"/>
      <c r="S4" s="2"/>
      <c r="T4" s="2"/>
      <c r="U4" s="2"/>
      <c r="V4" s="2"/>
      <c r="W4" s="2"/>
      <c r="X4" s="2"/>
      <c r="Y4" s="2"/>
      <c r="Z4" s="2"/>
    </row>
    <row r="5" ht="69.75" customHeight="1">
      <c r="A5" s="7" t="s">
        <v>45</v>
      </c>
      <c r="B5" s="7" t="s">
        <v>314</v>
      </c>
      <c r="C5" s="7" t="s">
        <v>315</v>
      </c>
      <c r="D5" s="7" t="s">
        <v>316</v>
      </c>
      <c r="E5" s="7" t="s">
        <v>91</v>
      </c>
      <c r="F5" s="2"/>
      <c r="G5" s="2"/>
      <c r="H5" s="2"/>
      <c r="I5" s="2"/>
      <c r="J5" s="2"/>
      <c r="K5" s="2"/>
      <c r="L5" s="2"/>
      <c r="M5" s="2"/>
      <c r="N5" s="2"/>
      <c r="O5" s="2"/>
      <c r="P5" s="2"/>
      <c r="Q5" s="2"/>
      <c r="R5" s="2"/>
      <c r="S5" s="2"/>
      <c r="T5" s="2"/>
      <c r="U5" s="2"/>
      <c r="V5" s="2"/>
      <c r="W5" s="2"/>
      <c r="X5" s="2"/>
      <c r="Y5" s="2"/>
      <c r="Z5" s="2"/>
    </row>
    <row r="6" ht="69.75" customHeight="1">
      <c r="A6" s="13" t="s">
        <v>100</v>
      </c>
      <c r="B6" s="13" t="s">
        <v>317</v>
      </c>
      <c r="C6" s="13" t="s">
        <v>318</v>
      </c>
      <c r="D6" s="13" t="s">
        <v>319</v>
      </c>
      <c r="E6" s="13" t="s">
        <v>91</v>
      </c>
      <c r="F6" s="2"/>
      <c r="G6" s="2"/>
      <c r="H6" s="2"/>
      <c r="I6" s="2"/>
      <c r="J6" s="2"/>
      <c r="K6" s="2"/>
      <c r="L6" s="2"/>
      <c r="M6" s="2"/>
      <c r="N6" s="2"/>
      <c r="O6" s="2"/>
      <c r="P6" s="2"/>
      <c r="Q6" s="2"/>
      <c r="R6" s="2"/>
      <c r="S6" s="2"/>
      <c r="T6" s="2"/>
      <c r="U6" s="2"/>
      <c r="V6" s="2"/>
      <c r="W6" s="2"/>
      <c r="X6" s="2"/>
      <c r="Y6" s="2"/>
      <c r="Z6" s="2"/>
    </row>
    <row r="7" ht="69.75" customHeight="1">
      <c r="A7" s="7" t="s">
        <v>320</v>
      </c>
      <c r="B7" s="7" t="s">
        <v>321</v>
      </c>
      <c r="C7" s="7" t="s">
        <v>322</v>
      </c>
      <c r="D7" s="7" t="s">
        <v>158</v>
      </c>
      <c r="E7" s="7" t="s">
        <v>37</v>
      </c>
      <c r="F7" s="2"/>
      <c r="G7" s="2"/>
      <c r="H7" s="2"/>
      <c r="I7" s="2"/>
      <c r="J7" s="2"/>
      <c r="K7" s="2"/>
      <c r="L7" s="2"/>
      <c r="M7" s="2"/>
      <c r="N7" s="2"/>
      <c r="O7" s="2"/>
      <c r="P7" s="2"/>
      <c r="Q7" s="2"/>
      <c r="R7" s="2"/>
      <c r="S7" s="2"/>
      <c r="T7" s="2"/>
      <c r="U7" s="2"/>
      <c r="V7" s="2"/>
      <c r="W7" s="2"/>
      <c r="X7" s="2"/>
      <c r="Y7" s="2"/>
      <c r="Z7" s="2"/>
    </row>
    <row r="8" ht="69.75" customHeight="1">
      <c r="A8" s="13" t="s">
        <v>323</v>
      </c>
      <c r="B8" s="13" t="s">
        <v>324</v>
      </c>
      <c r="C8" s="13" t="s">
        <v>325</v>
      </c>
      <c r="D8" s="13" t="s">
        <v>326</v>
      </c>
      <c r="E8" s="13" t="s">
        <v>91</v>
      </c>
      <c r="F8" s="2"/>
      <c r="G8" s="2"/>
      <c r="H8" s="2"/>
      <c r="I8" s="2"/>
      <c r="J8" s="2"/>
      <c r="K8" s="2"/>
      <c r="L8" s="2"/>
      <c r="M8" s="2"/>
      <c r="N8" s="2"/>
      <c r="O8" s="2"/>
      <c r="P8" s="2"/>
      <c r="Q8" s="2"/>
      <c r="R8" s="2"/>
      <c r="S8" s="2"/>
      <c r="T8" s="2"/>
      <c r="U8" s="2"/>
      <c r="V8" s="2"/>
      <c r="W8" s="2"/>
      <c r="X8" s="2"/>
      <c r="Y8" s="2"/>
      <c r="Z8" s="2"/>
    </row>
    <row r="9" ht="69.75" customHeight="1">
      <c r="A9" s="7" t="s">
        <v>327</v>
      </c>
      <c r="B9" s="7" t="s">
        <v>328</v>
      </c>
      <c r="C9" s="7" t="s">
        <v>329</v>
      </c>
      <c r="D9" s="7" t="s">
        <v>330</v>
      </c>
      <c r="E9" s="7" t="s">
        <v>91</v>
      </c>
      <c r="F9" s="2"/>
      <c r="G9" s="2"/>
      <c r="H9" s="2"/>
      <c r="I9" s="2"/>
      <c r="J9" s="2"/>
      <c r="K9" s="2"/>
      <c r="L9" s="2"/>
      <c r="M9" s="2"/>
      <c r="N9" s="2"/>
      <c r="O9" s="2"/>
      <c r="P9" s="2"/>
      <c r="Q9" s="2"/>
      <c r="R9" s="2"/>
      <c r="S9" s="2"/>
      <c r="T9" s="2"/>
      <c r="U9" s="2"/>
      <c r="V9" s="2"/>
      <c r="W9" s="2"/>
      <c r="X9" s="2"/>
      <c r="Y9" s="2"/>
      <c r="Z9" s="2"/>
    </row>
    <row r="10" ht="69.75" customHeight="1">
      <c r="A10" s="13" t="s">
        <v>331</v>
      </c>
      <c r="B10" s="13" t="s">
        <v>332</v>
      </c>
      <c r="C10" s="13" t="s">
        <v>333</v>
      </c>
      <c r="D10" s="13" t="s">
        <v>334</v>
      </c>
      <c r="E10" s="13" t="s">
        <v>91</v>
      </c>
      <c r="F10" s="2"/>
      <c r="G10" s="2"/>
      <c r="H10" s="2"/>
      <c r="I10" s="2"/>
      <c r="J10" s="2"/>
      <c r="K10" s="2"/>
      <c r="L10" s="2"/>
      <c r="M10" s="2"/>
      <c r="N10" s="2"/>
      <c r="O10" s="2"/>
      <c r="P10" s="2"/>
      <c r="Q10" s="2"/>
      <c r="R10" s="2"/>
      <c r="S10" s="2"/>
      <c r="T10" s="2"/>
      <c r="U10" s="2"/>
      <c r="V10" s="2"/>
      <c r="W10" s="2"/>
      <c r="X10" s="2"/>
      <c r="Y10" s="2"/>
      <c r="Z10" s="2"/>
    </row>
    <row r="11" ht="33.75" customHeight="1">
      <c r="A11" s="24"/>
      <c r="B11" s="24"/>
      <c r="C11" s="24"/>
      <c r="D11" s="24"/>
      <c r="E11" s="24"/>
      <c r="F11" s="2"/>
      <c r="G11" s="2"/>
      <c r="H11" s="2"/>
      <c r="I11" s="2"/>
      <c r="J11" s="2"/>
      <c r="K11" s="2"/>
      <c r="L11" s="2"/>
      <c r="M11" s="2"/>
      <c r="N11" s="2"/>
      <c r="O11" s="2"/>
      <c r="P11" s="2"/>
      <c r="Q11" s="2"/>
      <c r="R11" s="2"/>
      <c r="S11" s="2"/>
      <c r="T11" s="2"/>
      <c r="U11" s="2"/>
      <c r="V11" s="2"/>
      <c r="W11" s="2"/>
      <c r="X11" s="2"/>
      <c r="Y11" s="2"/>
      <c r="Z11" s="2"/>
    </row>
    <row r="12" ht="33.75" customHeight="1">
      <c r="A12" s="22"/>
      <c r="B12" s="22"/>
      <c r="C12" s="22"/>
      <c r="D12" s="22"/>
      <c r="E12" s="22"/>
      <c r="F12" s="2"/>
      <c r="G12" s="2"/>
      <c r="H12" s="2"/>
      <c r="I12" s="2"/>
      <c r="J12" s="2"/>
      <c r="K12" s="2"/>
      <c r="L12" s="2"/>
      <c r="M12" s="2"/>
      <c r="N12" s="2"/>
      <c r="O12" s="2"/>
      <c r="P12" s="2"/>
      <c r="Q12" s="2"/>
      <c r="R12" s="2"/>
      <c r="S12" s="2"/>
      <c r="T12" s="2"/>
      <c r="U12" s="2"/>
      <c r="V12" s="2"/>
      <c r="W12" s="2"/>
      <c r="X12" s="2"/>
      <c r="Y12" s="2"/>
      <c r="Z12" s="2"/>
    </row>
    <row r="13" ht="33.75" customHeight="1">
      <c r="A13" s="24"/>
      <c r="B13" s="24"/>
      <c r="C13" s="24"/>
      <c r="D13" s="24"/>
      <c r="E13" s="24"/>
      <c r="F13" s="2"/>
      <c r="G13" s="2"/>
      <c r="H13" s="2"/>
      <c r="I13" s="2"/>
      <c r="J13" s="2"/>
      <c r="K13" s="2"/>
      <c r="L13" s="2"/>
      <c r="M13" s="2"/>
      <c r="N13" s="2"/>
      <c r="O13" s="2"/>
      <c r="P13" s="2"/>
      <c r="Q13" s="2"/>
      <c r="R13" s="2"/>
      <c r="S13" s="2"/>
      <c r="T13" s="2"/>
      <c r="U13" s="2"/>
      <c r="V13" s="2"/>
      <c r="W13" s="2"/>
      <c r="X13" s="2"/>
      <c r="Y13" s="2"/>
      <c r="Z13" s="2"/>
    </row>
    <row r="14" ht="33.75" customHeight="1">
      <c r="A14" s="22"/>
      <c r="B14" s="22"/>
      <c r="C14" s="22"/>
      <c r="D14" s="22"/>
      <c r="E14" s="22"/>
      <c r="F14" s="2"/>
      <c r="G14" s="2"/>
      <c r="H14" s="2"/>
      <c r="I14" s="2"/>
      <c r="J14" s="2"/>
      <c r="K14" s="2"/>
      <c r="L14" s="2"/>
      <c r="M14" s="2"/>
      <c r="N14" s="2"/>
      <c r="O14" s="2"/>
      <c r="P14" s="2"/>
      <c r="Q14" s="2"/>
      <c r="R14" s="2"/>
      <c r="S14" s="2"/>
      <c r="T14" s="2"/>
      <c r="U14" s="2"/>
      <c r="V14" s="2"/>
      <c r="W14" s="2"/>
      <c r="X14" s="2"/>
      <c r="Y14" s="2"/>
      <c r="Z14" s="2"/>
    </row>
    <row r="15" ht="33.75" customHeight="1">
      <c r="A15" s="24"/>
      <c r="B15" s="24"/>
      <c r="C15" s="24"/>
      <c r="D15" s="24"/>
      <c r="E15" s="24"/>
      <c r="F15" s="2"/>
      <c r="G15" s="2"/>
      <c r="H15" s="2"/>
      <c r="I15" s="2"/>
      <c r="J15" s="2"/>
      <c r="K15" s="2"/>
      <c r="L15" s="2"/>
      <c r="M15" s="2"/>
      <c r="N15" s="2"/>
      <c r="O15" s="2"/>
      <c r="P15" s="2"/>
      <c r="Q15" s="2"/>
      <c r="R15" s="2"/>
      <c r="S15" s="2"/>
      <c r="T15" s="2"/>
      <c r="U15" s="2"/>
      <c r="V15" s="2"/>
      <c r="W15" s="2"/>
      <c r="X15" s="2"/>
      <c r="Y15" s="2"/>
      <c r="Z15" s="2"/>
    </row>
    <row r="16" ht="33.75" customHeight="1">
      <c r="A16" s="22"/>
      <c r="B16" s="22"/>
      <c r="C16" s="22"/>
      <c r="D16" s="22"/>
      <c r="E16" s="22"/>
      <c r="F16" s="2"/>
      <c r="G16" s="2"/>
      <c r="H16" s="2"/>
      <c r="I16" s="2"/>
      <c r="J16" s="2"/>
      <c r="K16" s="2"/>
      <c r="L16" s="2"/>
      <c r="M16" s="2"/>
      <c r="N16" s="2"/>
      <c r="O16" s="2"/>
      <c r="P16" s="2"/>
      <c r="Q16" s="2"/>
      <c r="R16" s="2"/>
      <c r="S16" s="2"/>
      <c r="T16" s="2"/>
      <c r="U16" s="2"/>
      <c r="V16" s="2"/>
      <c r="W16" s="2"/>
      <c r="X16" s="2"/>
      <c r="Y16" s="2"/>
      <c r="Z16" s="2"/>
    </row>
    <row r="17" ht="33.75" customHeight="1">
      <c r="A17" s="24"/>
      <c r="B17" s="24"/>
      <c r="C17" s="24"/>
      <c r="D17" s="24"/>
      <c r="E17" s="24"/>
      <c r="F17" s="2"/>
      <c r="G17" s="2"/>
      <c r="H17" s="2"/>
      <c r="I17" s="2"/>
      <c r="J17" s="2"/>
      <c r="K17" s="2"/>
      <c r="L17" s="2"/>
      <c r="M17" s="2"/>
      <c r="N17" s="2"/>
      <c r="O17" s="2"/>
      <c r="P17" s="2"/>
      <c r="Q17" s="2"/>
      <c r="R17" s="2"/>
      <c r="S17" s="2"/>
      <c r="T17" s="2"/>
      <c r="U17" s="2"/>
      <c r="V17" s="2"/>
      <c r="W17" s="2"/>
      <c r="X17" s="2"/>
      <c r="Y17" s="2"/>
      <c r="Z17" s="2"/>
    </row>
    <row r="18" ht="33.75" customHeight="1">
      <c r="A18" s="22"/>
      <c r="B18" s="22"/>
      <c r="C18" s="22"/>
      <c r="D18" s="22"/>
      <c r="E18" s="22"/>
      <c r="F18" s="2"/>
      <c r="G18" s="2"/>
      <c r="H18" s="2"/>
      <c r="I18" s="2"/>
      <c r="J18" s="2"/>
      <c r="K18" s="2"/>
      <c r="L18" s="2"/>
      <c r="M18" s="2"/>
      <c r="N18" s="2"/>
      <c r="O18" s="2"/>
      <c r="P18" s="2"/>
      <c r="Q18" s="2"/>
      <c r="R18" s="2"/>
      <c r="S18" s="2"/>
      <c r="T18" s="2"/>
      <c r="U18" s="2"/>
      <c r="V18" s="2"/>
      <c r="W18" s="2"/>
      <c r="X18" s="2"/>
      <c r="Y18" s="2"/>
      <c r="Z18" s="2"/>
    </row>
    <row r="19" ht="33.75" customHeight="1">
      <c r="A19" s="24"/>
      <c r="B19" s="24"/>
      <c r="C19" s="24"/>
      <c r="D19" s="24"/>
      <c r="E19" s="24"/>
      <c r="F19" s="2"/>
      <c r="G19" s="2"/>
      <c r="H19" s="2"/>
      <c r="I19" s="2"/>
      <c r="J19" s="2"/>
      <c r="K19" s="2"/>
      <c r="L19" s="2"/>
      <c r="M19" s="2"/>
      <c r="N19" s="2"/>
      <c r="O19" s="2"/>
      <c r="P19" s="2"/>
      <c r="Q19" s="2"/>
      <c r="R19" s="2"/>
      <c r="S19" s="2"/>
      <c r="T19" s="2"/>
      <c r="U19" s="2"/>
      <c r="V19" s="2"/>
      <c r="W19" s="2"/>
      <c r="X19" s="2"/>
      <c r="Y19" s="2"/>
      <c r="Z19" s="2"/>
    </row>
    <row r="20" ht="33.75" customHeight="1">
      <c r="A20" s="22"/>
      <c r="B20" s="22"/>
      <c r="C20" s="22"/>
      <c r="D20" s="22"/>
      <c r="E20" s="22"/>
      <c r="F20" s="2"/>
      <c r="G20" s="2"/>
      <c r="H20" s="2"/>
      <c r="I20" s="2"/>
      <c r="J20" s="2"/>
      <c r="K20" s="2"/>
      <c r="L20" s="2"/>
      <c r="M20" s="2"/>
      <c r="N20" s="2"/>
      <c r="O20" s="2"/>
      <c r="P20" s="2"/>
      <c r="Q20" s="2"/>
      <c r="R20" s="2"/>
      <c r="S20" s="2"/>
      <c r="T20" s="2"/>
      <c r="U20" s="2"/>
      <c r="V20" s="2"/>
      <c r="W20" s="2"/>
      <c r="X20" s="2"/>
      <c r="Y20" s="2"/>
      <c r="Z20" s="2"/>
    </row>
    <row r="21" ht="33.75" customHeight="1">
      <c r="A21" s="24"/>
      <c r="B21" s="24"/>
      <c r="C21" s="24"/>
      <c r="D21" s="24"/>
      <c r="E21" s="24"/>
      <c r="F21" s="2"/>
      <c r="G21" s="2"/>
      <c r="H21" s="2"/>
      <c r="I21" s="2"/>
      <c r="J21" s="2"/>
      <c r="K21" s="2"/>
      <c r="L21" s="2"/>
      <c r="M21" s="2"/>
      <c r="N21" s="2"/>
      <c r="O21" s="2"/>
      <c r="P21" s="2"/>
      <c r="Q21" s="2"/>
      <c r="R21" s="2"/>
      <c r="S21" s="2"/>
      <c r="T21" s="2"/>
      <c r="U21" s="2"/>
      <c r="V21" s="2"/>
      <c r="W21" s="2"/>
      <c r="X21" s="2"/>
      <c r="Y21" s="2"/>
      <c r="Z21" s="2"/>
    </row>
    <row r="22" ht="33.75" customHeight="1">
      <c r="A22" s="22"/>
      <c r="B22" s="22"/>
      <c r="C22" s="22"/>
      <c r="D22" s="22"/>
      <c r="E22" s="22"/>
      <c r="F22" s="2"/>
      <c r="G22" s="2"/>
      <c r="H22" s="2"/>
      <c r="I22" s="2"/>
      <c r="J22" s="2"/>
      <c r="K22" s="2"/>
      <c r="L22" s="2"/>
      <c r="M22" s="2"/>
      <c r="N22" s="2"/>
      <c r="O22" s="2"/>
      <c r="P22" s="2"/>
      <c r="Q22" s="2"/>
      <c r="R22" s="2"/>
      <c r="S22" s="2"/>
      <c r="T22" s="2"/>
      <c r="U22" s="2"/>
      <c r="V22" s="2"/>
      <c r="W22" s="2"/>
      <c r="X22" s="2"/>
      <c r="Y22" s="2"/>
      <c r="Z22" s="2"/>
    </row>
    <row r="23" ht="33.75" customHeight="1">
      <c r="A23" s="24"/>
      <c r="B23" s="24"/>
      <c r="C23" s="24"/>
      <c r="D23" s="24"/>
      <c r="E23" s="24"/>
      <c r="F23" s="2"/>
      <c r="G23" s="2"/>
      <c r="H23" s="2"/>
      <c r="I23" s="2"/>
      <c r="J23" s="2"/>
      <c r="K23" s="2"/>
      <c r="L23" s="2"/>
      <c r="M23" s="2"/>
      <c r="N23" s="2"/>
      <c r="O23" s="2"/>
      <c r="P23" s="2"/>
      <c r="Q23" s="2"/>
      <c r="R23" s="2"/>
      <c r="S23" s="2"/>
      <c r="T23" s="2"/>
      <c r="U23" s="2"/>
      <c r="V23" s="2"/>
      <c r="W23" s="2"/>
      <c r="X23" s="2"/>
      <c r="Y23" s="2"/>
      <c r="Z23" s="2"/>
    </row>
    <row r="24" ht="33.75" customHeight="1">
      <c r="A24" s="22"/>
      <c r="B24" s="22"/>
      <c r="C24" s="22"/>
      <c r="D24" s="22"/>
      <c r="E24" s="22"/>
      <c r="F24" s="2"/>
      <c r="G24" s="2"/>
      <c r="H24" s="2"/>
      <c r="I24" s="2"/>
      <c r="J24" s="2"/>
      <c r="K24" s="2"/>
      <c r="L24" s="2"/>
      <c r="M24" s="2"/>
      <c r="N24" s="2"/>
      <c r="O24" s="2"/>
      <c r="P24" s="2"/>
      <c r="Q24" s="2"/>
      <c r="R24" s="2"/>
      <c r="S24" s="2"/>
      <c r="T24" s="2"/>
      <c r="U24" s="2"/>
      <c r="V24" s="2"/>
      <c r="W24" s="2"/>
      <c r="X24" s="2"/>
      <c r="Y24" s="2"/>
      <c r="Z24" s="2"/>
    </row>
    <row r="25" ht="33.75" customHeight="1">
      <c r="A25" s="24"/>
      <c r="B25" s="24"/>
      <c r="C25" s="24"/>
      <c r="D25" s="24"/>
      <c r="E25" s="24"/>
      <c r="F25" s="2"/>
      <c r="G25" s="2"/>
      <c r="H25" s="2"/>
      <c r="I25" s="2"/>
      <c r="J25" s="2"/>
      <c r="K25" s="2"/>
      <c r="L25" s="2"/>
      <c r="M25" s="2"/>
      <c r="N25" s="2"/>
      <c r="O25" s="2"/>
      <c r="P25" s="2"/>
      <c r="Q25" s="2"/>
      <c r="R25" s="2"/>
      <c r="S25" s="2"/>
      <c r="T25" s="2"/>
      <c r="U25" s="2"/>
      <c r="V25" s="2"/>
      <c r="W25" s="2"/>
      <c r="X25" s="2"/>
      <c r="Y25" s="2"/>
      <c r="Z25" s="2"/>
    </row>
    <row r="26" ht="33.75" customHeight="1">
      <c r="A26" s="22"/>
      <c r="B26" s="22"/>
      <c r="C26" s="22"/>
      <c r="D26" s="22"/>
      <c r="E26" s="22"/>
      <c r="F26" s="2"/>
      <c r="G26" s="2"/>
      <c r="H26" s="2"/>
      <c r="I26" s="2"/>
      <c r="J26" s="2"/>
      <c r="K26" s="2"/>
      <c r="L26" s="2"/>
      <c r="M26" s="2"/>
      <c r="N26" s="2"/>
      <c r="O26" s="2"/>
      <c r="P26" s="2"/>
      <c r="Q26" s="2"/>
      <c r="R26" s="2"/>
      <c r="S26" s="2"/>
      <c r="T26" s="2"/>
      <c r="U26" s="2"/>
      <c r="V26" s="2"/>
      <c r="W26" s="2"/>
      <c r="X26" s="2"/>
      <c r="Y26" s="2"/>
      <c r="Z26" s="2"/>
    </row>
    <row r="27" ht="33.75" customHeight="1">
      <c r="A27" s="24"/>
      <c r="B27" s="24"/>
      <c r="C27" s="24"/>
      <c r="D27" s="24"/>
      <c r="E27" s="24"/>
      <c r="F27" s="2"/>
      <c r="G27" s="2"/>
      <c r="H27" s="2"/>
      <c r="I27" s="2"/>
      <c r="J27" s="2"/>
      <c r="K27" s="2"/>
      <c r="L27" s="2"/>
      <c r="M27" s="2"/>
      <c r="N27" s="2"/>
      <c r="O27" s="2"/>
      <c r="P27" s="2"/>
      <c r="Q27" s="2"/>
      <c r="R27" s="2"/>
      <c r="S27" s="2"/>
      <c r="T27" s="2"/>
      <c r="U27" s="2"/>
      <c r="V27" s="2"/>
      <c r="W27" s="2"/>
      <c r="X27" s="2"/>
      <c r="Y27" s="2"/>
      <c r="Z27" s="2"/>
    </row>
    <row r="28" ht="33.75" customHeight="1">
      <c r="A28" s="22"/>
      <c r="B28" s="22"/>
      <c r="C28" s="22"/>
      <c r="D28" s="22"/>
      <c r="E28" s="22"/>
      <c r="F28" s="2"/>
      <c r="G28" s="2"/>
      <c r="H28" s="2"/>
      <c r="I28" s="2"/>
      <c r="J28" s="2"/>
      <c r="K28" s="2"/>
      <c r="L28" s="2"/>
      <c r="M28" s="2"/>
      <c r="N28" s="2"/>
      <c r="O28" s="2"/>
      <c r="P28" s="2"/>
      <c r="Q28" s="2"/>
      <c r="R28" s="2"/>
      <c r="S28" s="2"/>
      <c r="T28" s="2"/>
      <c r="U28" s="2"/>
      <c r="V28" s="2"/>
      <c r="W28" s="2"/>
      <c r="X28" s="2"/>
      <c r="Y28" s="2"/>
      <c r="Z28" s="2"/>
    </row>
    <row r="29" ht="33.75" customHeight="1">
      <c r="A29" s="24"/>
      <c r="B29" s="24"/>
      <c r="C29" s="24"/>
      <c r="D29" s="24"/>
      <c r="E29" s="24"/>
      <c r="F29" s="2"/>
      <c r="G29" s="2"/>
      <c r="H29" s="2"/>
      <c r="I29" s="2"/>
      <c r="J29" s="2"/>
      <c r="K29" s="2"/>
      <c r="L29" s="2"/>
      <c r="M29" s="2"/>
      <c r="N29" s="2"/>
      <c r="O29" s="2"/>
      <c r="P29" s="2"/>
      <c r="Q29" s="2"/>
      <c r="R29" s="2"/>
      <c r="S29" s="2"/>
      <c r="T29" s="2"/>
      <c r="U29" s="2"/>
      <c r="V29" s="2"/>
      <c r="W29" s="2"/>
      <c r="X29" s="2"/>
      <c r="Y29" s="2"/>
      <c r="Z29" s="2"/>
    </row>
    <row r="30" ht="33.75" customHeight="1">
      <c r="A30" s="22"/>
      <c r="B30" s="22"/>
      <c r="C30" s="22"/>
      <c r="D30" s="22"/>
      <c r="E30" s="22"/>
      <c r="F30" s="2"/>
      <c r="G30" s="2"/>
      <c r="H30" s="2"/>
      <c r="I30" s="2"/>
      <c r="J30" s="2"/>
      <c r="K30" s="2"/>
      <c r="L30" s="2"/>
      <c r="M30" s="2"/>
      <c r="N30" s="2"/>
      <c r="O30" s="2"/>
      <c r="P30" s="2"/>
      <c r="Q30" s="2"/>
      <c r="R30" s="2"/>
      <c r="S30" s="2"/>
      <c r="T30" s="2"/>
      <c r="U30" s="2"/>
      <c r="V30" s="2"/>
      <c r="W30" s="2"/>
      <c r="X30" s="2"/>
      <c r="Y30" s="2"/>
      <c r="Z30" s="2"/>
    </row>
    <row r="31" ht="33.75" customHeight="1">
      <c r="A31" s="24"/>
      <c r="B31" s="24"/>
      <c r="C31" s="24"/>
      <c r="D31" s="24"/>
      <c r="E31" s="24"/>
      <c r="F31" s="2"/>
      <c r="G31" s="2"/>
      <c r="H31" s="2"/>
      <c r="I31" s="2"/>
      <c r="J31" s="2"/>
      <c r="K31" s="2"/>
      <c r="L31" s="2"/>
      <c r="M31" s="2"/>
      <c r="N31" s="2"/>
      <c r="O31" s="2"/>
      <c r="P31" s="2"/>
      <c r="Q31" s="2"/>
      <c r="R31" s="2"/>
      <c r="S31" s="2"/>
      <c r="T31" s="2"/>
      <c r="U31" s="2"/>
      <c r="V31" s="2"/>
      <c r="W31" s="2"/>
      <c r="X31" s="2"/>
      <c r="Y31" s="2"/>
      <c r="Z31" s="2"/>
    </row>
    <row r="32" ht="33.75" customHeight="1">
      <c r="A32" s="22"/>
      <c r="B32" s="22"/>
      <c r="C32" s="22"/>
      <c r="D32" s="22"/>
      <c r="E32" s="22"/>
      <c r="F32" s="2"/>
      <c r="G32" s="2"/>
      <c r="H32" s="2"/>
      <c r="I32" s="2"/>
      <c r="J32" s="2"/>
      <c r="K32" s="2"/>
      <c r="L32" s="2"/>
      <c r="M32" s="2"/>
      <c r="N32" s="2"/>
      <c r="O32" s="2"/>
      <c r="P32" s="2"/>
      <c r="Q32" s="2"/>
      <c r="R32" s="2"/>
      <c r="S32" s="2"/>
      <c r="T32" s="2"/>
      <c r="U32" s="2"/>
      <c r="V32" s="2"/>
      <c r="W32" s="2"/>
      <c r="X32" s="2"/>
      <c r="Y32" s="2"/>
      <c r="Z32" s="2"/>
    </row>
    <row r="33" ht="33.75" customHeight="1">
      <c r="A33" s="24"/>
      <c r="B33" s="24"/>
      <c r="C33" s="24"/>
      <c r="D33" s="24"/>
      <c r="E33" s="24"/>
      <c r="F33" s="2"/>
      <c r="G33" s="2"/>
      <c r="H33" s="2"/>
      <c r="I33" s="2"/>
      <c r="J33" s="2"/>
      <c r="K33" s="2"/>
      <c r="L33" s="2"/>
      <c r="M33" s="2"/>
      <c r="N33" s="2"/>
      <c r="O33" s="2"/>
      <c r="P33" s="2"/>
      <c r="Q33" s="2"/>
      <c r="R33" s="2"/>
      <c r="S33" s="2"/>
      <c r="T33" s="2"/>
      <c r="U33" s="2"/>
      <c r="V33" s="2"/>
      <c r="W33" s="2"/>
      <c r="X33" s="2"/>
      <c r="Y33" s="2"/>
      <c r="Z33" s="2"/>
    </row>
    <row r="34" ht="33.75" customHeight="1">
      <c r="A34" s="22"/>
      <c r="B34" s="22"/>
      <c r="C34" s="22"/>
      <c r="D34" s="22"/>
      <c r="E34" s="22"/>
      <c r="F34" s="2"/>
      <c r="G34" s="2"/>
      <c r="H34" s="2"/>
      <c r="I34" s="2"/>
      <c r="J34" s="2"/>
      <c r="K34" s="2"/>
      <c r="L34" s="2"/>
      <c r="M34" s="2"/>
      <c r="N34" s="2"/>
      <c r="O34" s="2"/>
      <c r="P34" s="2"/>
      <c r="Q34" s="2"/>
      <c r="R34" s="2"/>
      <c r="S34" s="2"/>
      <c r="T34" s="2"/>
      <c r="U34" s="2"/>
      <c r="V34" s="2"/>
      <c r="W34" s="2"/>
      <c r="X34" s="2"/>
      <c r="Y34" s="2"/>
      <c r="Z34" s="2"/>
    </row>
    <row r="35" ht="33.75" customHeight="1">
      <c r="A35" s="24"/>
      <c r="B35" s="24"/>
      <c r="C35" s="24"/>
      <c r="D35" s="24"/>
      <c r="E35" s="24"/>
      <c r="F35" s="2"/>
      <c r="G35" s="2"/>
      <c r="H35" s="2"/>
      <c r="I35" s="2"/>
      <c r="J35" s="2"/>
      <c r="K35" s="2"/>
      <c r="L35" s="2"/>
      <c r="M35" s="2"/>
      <c r="N35" s="2"/>
      <c r="O35" s="2"/>
      <c r="P35" s="2"/>
      <c r="Q35" s="2"/>
      <c r="R35" s="2"/>
      <c r="S35" s="2"/>
      <c r="T35" s="2"/>
      <c r="U35" s="2"/>
      <c r="V35" s="2"/>
      <c r="W35" s="2"/>
      <c r="X35" s="2"/>
      <c r="Y35" s="2"/>
      <c r="Z35" s="2"/>
    </row>
    <row r="36" ht="33.75" customHeight="1">
      <c r="A36" s="22"/>
      <c r="B36" s="22"/>
      <c r="C36" s="22"/>
      <c r="D36" s="22"/>
      <c r="E36" s="22"/>
      <c r="F36" s="2"/>
      <c r="G36" s="2"/>
      <c r="H36" s="2"/>
      <c r="I36" s="2"/>
      <c r="J36" s="2"/>
      <c r="K36" s="2"/>
      <c r="L36" s="2"/>
      <c r="M36" s="2"/>
      <c r="N36" s="2"/>
      <c r="O36" s="2"/>
      <c r="P36" s="2"/>
      <c r="Q36" s="2"/>
      <c r="R36" s="2"/>
      <c r="S36" s="2"/>
      <c r="T36" s="2"/>
      <c r="U36" s="2"/>
      <c r="V36" s="2"/>
      <c r="W36" s="2"/>
      <c r="X36" s="2"/>
      <c r="Y36" s="2"/>
      <c r="Z36" s="2"/>
    </row>
    <row r="37" ht="33.75" customHeight="1">
      <c r="A37" s="24"/>
      <c r="B37" s="24"/>
      <c r="C37" s="24"/>
      <c r="D37" s="24"/>
      <c r="E37" s="24"/>
      <c r="F37" s="2"/>
      <c r="G37" s="2"/>
      <c r="H37" s="2"/>
      <c r="I37" s="2"/>
      <c r="J37" s="2"/>
      <c r="K37" s="2"/>
      <c r="L37" s="2"/>
      <c r="M37" s="2"/>
      <c r="N37" s="2"/>
      <c r="O37" s="2"/>
      <c r="P37" s="2"/>
      <c r="Q37" s="2"/>
      <c r="R37" s="2"/>
      <c r="S37" s="2"/>
      <c r="T37" s="2"/>
      <c r="U37" s="2"/>
      <c r="V37" s="2"/>
      <c r="W37" s="2"/>
      <c r="X37" s="2"/>
      <c r="Y37" s="2"/>
      <c r="Z37" s="2"/>
    </row>
    <row r="38" ht="33.75" customHeight="1">
      <c r="A38" s="22"/>
      <c r="B38" s="22"/>
      <c r="C38" s="22"/>
      <c r="D38" s="22"/>
      <c r="E38" s="22"/>
      <c r="F38" s="2"/>
      <c r="G38" s="2"/>
      <c r="H38" s="2"/>
      <c r="I38" s="2"/>
      <c r="J38" s="2"/>
      <c r="K38" s="2"/>
      <c r="L38" s="2"/>
      <c r="M38" s="2"/>
      <c r="N38" s="2"/>
      <c r="O38" s="2"/>
      <c r="P38" s="2"/>
      <c r="Q38" s="2"/>
      <c r="R38" s="2"/>
      <c r="S38" s="2"/>
      <c r="T38" s="2"/>
      <c r="U38" s="2"/>
      <c r="V38" s="2"/>
      <c r="W38" s="2"/>
      <c r="X38" s="2"/>
      <c r="Y38" s="2"/>
      <c r="Z38" s="2"/>
    </row>
    <row r="39" ht="33.75" customHeight="1">
      <c r="A39" s="24"/>
      <c r="B39" s="24"/>
      <c r="C39" s="24"/>
      <c r="D39" s="24"/>
      <c r="E39" s="24"/>
      <c r="F39" s="2"/>
      <c r="G39" s="2"/>
      <c r="H39" s="2"/>
      <c r="I39" s="2"/>
      <c r="J39" s="2"/>
      <c r="K39" s="2"/>
      <c r="L39" s="2"/>
      <c r="M39" s="2"/>
      <c r="N39" s="2"/>
      <c r="O39" s="2"/>
      <c r="P39" s="2"/>
      <c r="Q39" s="2"/>
      <c r="R39" s="2"/>
      <c r="S39" s="2"/>
      <c r="T39" s="2"/>
      <c r="U39" s="2"/>
      <c r="V39" s="2"/>
      <c r="W39" s="2"/>
      <c r="X39" s="2"/>
      <c r="Y39" s="2"/>
      <c r="Z39" s="2"/>
    </row>
    <row r="40" ht="33.75" customHeight="1">
      <c r="A40" s="22"/>
      <c r="B40" s="22"/>
      <c r="C40" s="22"/>
      <c r="D40" s="22"/>
      <c r="E40" s="22"/>
      <c r="F40" s="2"/>
      <c r="G40" s="2"/>
      <c r="H40" s="2"/>
      <c r="I40" s="2"/>
      <c r="J40" s="2"/>
      <c r="K40" s="2"/>
      <c r="L40" s="2"/>
      <c r="M40" s="2"/>
      <c r="N40" s="2"/>
      <c r="O40" s="2"/>
      <c r="P40" s="2"/>
      <c r="Q40" s="2"/>
      <c r="R40" s="2"/>
      <c r="S40" s="2"/>
      <c r="T40" s="2"/>
      <c r="U40" s="2"/>
      <c r="V40" s="2"/>
      <c r="W40" s="2"/>
      <c r="X40" s="2"/>
      <c r="Y40" s="2"/>
      <c r="Z40" s="2"/>
    </row>
    <row r="41" ht="33.75" customHeight="1">
      <c r="A41" s="24"/>
      <c r="B41" s="24"/>
      <c r="C41" s="24"/>
      <c r="D41" s="24"/>
      <c r="E41" s="24"/>
      <c r="F41" s="2"/>
      <c r="G41" s="2"/>
      <c r="H41" s="2"/>
      <c r="I41" s="2"/>
      <c r="J41" s="2"/>
      <c r="K41" s="2"/>
      <c r="L41" s="2"/>
      <c r="M41" s="2"/>
      <c r="N41" s="2"/>
      <c r="O41" s="2"/>
      <c r="P41" s="2"/>
      <c r="Q41" s="2"/>
      <c r="R41" s="2"/>
      <c r="S41" s="2"/>
      <c r="T41" s="2"/>
      <c r="U41" s="2"/>
      <c r="V41" s="2"/>
      <c r="W41" s="2"/>
      <c r="X41" s="2"/>
      <c r="Y41" s="2"/>
      <c r="Z41" s="2"/>
    </row>
    <row r="42" ht="33.75" customHeight="1">
      <c r="A42" s="22"/>
      <c r="B42" s="22"/>
      <c r="C42" s="22"/>
      <c r="D42" s="22"/>
      <c r="E42" s="22"/>
      <c r="F42" s="2"/>
      <c r="G42" s="2"/>
      <c r="H42" s="2"/>
      <c r="I42" s="2"/>
      <c r="J42" s="2"/>
      <c r="K42" s="2"/>
      <c r="L42" s="2"/>
      <c r="M42" s="2"/>
      <c r="N42" s="2"/>
      <c r="O42" s="2"/>
      <c r="P42" s="2"/>
      <c r="Q42" s="2"/>
      <c r="R42" s="2"/>
      <c r="S42" s="2"/>
      <c r="T42" s="2"/>
      <c r="U42" s="2"/>
      <c r="V42" s="2"/>
      <c r="W42" s="2"/>
      <c r="X42" s="2"/>
      <c r="Y42" s="2"/>
      <c r="Z42" s="2"/>
    </row>
    <row r="43" ht="33.75" customHeight="1">
      <c r="A43" s="24"/>
      <c r="B43" s="24"/>
      <c r="C43" s="24"/>
      <c r="D43" s="24"/>
      <c r="E43" s="24"/>
      <c r="F43" s="2"/>
      <c r="G43" s="2"/>
      <c r="H43" s="2"/>
      <c r="I43" s="2"/>
      <c r="J43" s="2"/>
      <c r="K43" s="2"/>
      <c r="L43" s="2"/>
      <c r="M43" s="2"/>
      <c r="N43" s="2"/>
      <c r="O43" s="2"/>
      <c r="P43" s="2"/>
      <c r="Q43" s="2"/>
      <c r="R43" s="2"/>
      <c r="S43" s="2"/>
      <c r="T43" s="2"/>
      <c r="U43" s="2"/>
      <c r="V43" s="2"/>
      <c r="W43" s="2"/>
      <c r="X43" s="2"/>
      <c r="Y43" s="2"/>
      <c r="Z43" s="2"/>
    </row>
    <row r="44" ht="33.75" customHeight="1">
      <c r="A44" s="22"/>
      <c r="B44" s="22"/>
      <c r="C44" s="22"/>
      <c r="D44" s="22"/>
      <c r="E44" s="22"/>
      <c r="F44" s="2"/>
      <c r="G44" s="2"/>
      <c r="H44" s="2"/>
      <c r="I44" s="2"/>
      <c r="J44" s="2"/>
      <c r="K44" s="2"/>
      <c r="L44" s="2"/>
      <c r="M44" s="2"/>
      <c r="N44" s="2"/>
      <c r="O44" s="2"/>
      <c r="P44" s="2"/>
      <c r="Q44" s="2"/>
      <c r="R44" s="2"/>
      <c r="S44" s="2"/>
      <c r="T44" s="2"/>
      <c r="U44" s="2"/>
      <c r="V44" s="2"/>
      <c r="W44" s="2"/>
      <c r="X44" s="2"/>
      <c r="Y44" s="2"/>
      <c r="Z44" s="2"/>
    </row>
    <row r="45" ht="33.75" customHeight="1">
      <c r="A45" s="24"/>
      <c r="B45" s="24"/>
      <c r="C45" s="24"/>
      <c r="D45" s="24"/>
      <c r="E45" s="24"/>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G1"/>
    <mergeCell ref="A2:G2"/>
  </mergeCells>
  <dataValidations>
    <dataValidation type="list" allowBlank="1" showInputMessage="1" showErrorMessage="1" prompt="Valor no admitido - Responda Sí o No." sqref="E5:E45">
      <formula1>"Sí,No"</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9.57"/>
    <col customWidth="1" min="2" max="3" width="11.0"/>
    <col customWidth="1" min="4" max="4" width="95.29"/>
    <col customWidth="1" min="5" max="5" width="39.43"/>
    <col customWidth="1" min="6" max="6" width="62.57"/>
    <col customWidth="1" min="7" max="7" width="10.71"/>
  </cols>
  <sheetData>
    <row r="1" ht="19.5" customHeight="1">
      <c r="A1" s="1" t="s">
        <v>335</v>
      </c>
      <c r="H1" s="2"/>
      <c r="I1" s="2"/>
      <c r="J1" s="2"/>
      <c r="K1" s="2"/>
      <c r="L1" s="2"/>
      <c r="M1" s="2"/>
      <c r="N1" s="2"/>
      <c r="O1" s="2"/>
      <c r="P1" s="2"/>
      <c r="Q1" s="2"/>
      <c r="R1" s="2"/>
      <c r="S1" s="2"/>
      <c r="T1" s="2"/>
      <c r="U1" s="2"/>
      <c r="V1" s="2"/>
      <c r="W1" s="2"/>
      <c r="X1" s="2"/>
      <c r="Y1" s="2"/>
      <c r="Z1" s="2"/>
    </row>
    <row r="2" ht="25.5" customHeight="1">
      <c r="A2" s="4" t="s">
        <v>336</v>
      </c>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30.0" customHeight="1">
      <c r="A4" s="6" t="s">
        <v>337</v>
      </c>
      <c r="B4" s="6" t="s">
        <v>338</v>
      </c>
      <c r="C4" s="6" t="s">
        <v>339</v>
      </c>
      <c r="D4" s="6" t="s">
        <v>340</v>
      </c>
      <c r="E4" s="6" t="s">
        <v>341</v>
      </c>
      <c r="F4" s="6" t="s">
        <v>342</v>
      </c>
      <c r="G4" s="6" t="s">
        <v>343</v>
      </c>
      <c r="H4" s="2"/>
      <c r="I4" s="2"/>
      <c r="J4" s="2"/>
      <c r="K4" s="2"/>
      <c r="L4" s="2"/>
      <c r="M4" s="2"/>
      <c r="N4" s="2"/>
      <c r="O4" s="2"/>
      <c r="P4" s="2"/>
      <c r="Q4" s="2"/>
      <c r="R4" s="2"/>
      <c r="S4" s="2"/>
      <c r="T4" s="2"/>
      <c r="U4" s="2"/>
      <c r="V4" s="2"/>
      <c r="W4" s="2"/>
      <c r="X4" s="2"/>
      <c r="Y4" s="2"/>
      <c r="Z4" s="2"/>
    </row>
    <row r="5" ht="107.25" customHeight="1">
      <c r="A5" s="7">
        <v>1.0</v>
      </c>
      <c r="B5" s="7" t="s">
        <v>344</v>
      </c>
      <c r="C5" s="7" t="s">
        <v>345</v>
      </c>
      <c r="D5" s="7" t="s">
        <v>346</v>
      </c>
      <c r="E5" s="7" t="s">
        <v>347</v>
      </c>
      <c r="F5" s="7" t="s">
        <v>348</v>
      </c>
      <c r="G5" s="7">
        <v>70.0</v>
      </c>
      <c r="H5" s="2"/>
      <c r="I5" s="2"/>
      <c r="J5" s="2"/>
      <c r="K5" s="2"/>
      <c r="L5" s="2"/>
      <c r="M5" s="2"/>
      <c r="N5" s="2"/>
      <c r="O5" s="2"/>
      <c r="P5" s="2"/>
      <c r="Q5" s="2"/>
      <c r="R5" s="2"/>
      <c r="S5" s="2"/>
      <c r="T5" s="2"/>
      <c r="U5" s="2"/>
      <c r="V5" s="2"/>
      <c r="W5" s="2"/>
      <c r="X5" s="2"/>
      <c r="Y5" s="2"/>
      <c r="Z5" s="2"/>
    </row>
    <row r="6" ht="107.25" customHeight="1">
      <c r="A6" s="13">
        <v>2.0</v>
      </c>
      <c r="B6" s="13" t="s">
        <v>349</v>
      </c>
      <c r="C6" s="13" t="s">
        <v>350</v>
      </c>
      <c r="D6" s="13" t="s">
        <v>351</v>
      </c>
      <c r="E6" s="13" t="s">
        <v>352</v>
      </c>
      <c r="F6" s="13" t="s">
        <v>353</v>
      </c>
      <c r="G6" s="13">
        <v>70.0</v>
      </c>
      <c r="H6" s="2"/>
      <c r="I6" s="2"/>
      <c r="J6" s="2"/>
      <c r="K6" s="2"/>
      <c r="L6" s="2"/>
      <c r="M6" s="2"/>
      <c r="N6" s="2"/>
      <c r="O6" s="2"/>
      <c r="P6" s="2"/>
      <c r="Q6" s="2"/>
      <c r="R6" s="2"/>
      <c r="S6" s="2"/>
      <c r="T6" s="2"/>
      <c r="U6" s="2"/>
      <c r="V6" s="2"/>
      <c r="W6" s="2"/>
      <c r="X6" s="2"/>
      <c r="Y6" s="2"/>
      <c r="Z6" s="2"/>
    </row>
    <row r="7" ht="107.25" customHeight="1">
      <c r="A7" s="7">
        <v>3.0</v>
      </c>
      <c r="B7" s="7" t="s">
        <v>354</v>
      </c>
      <c r="C7" s="7" t="s">
        <v>355</v>
      </c>
      <c r="D7" s="7" t="s">
        <v>356</v>
      </c>
      <c r="E7" s="7" t="s">
        <v>357</v>
      </c>
      <c r="F7" s="7" t="s">
        <v>358</v>
      </c>
      <c r="G7" s="7">
        <v>35.0</v>
      </c>
      <c r="H7" s="2"/>
      <c r="I7" s="2"/>
      <c r="J7" s="2"/>
      <c r="K7" s="2"/>
      <c r="L7" s="2"/>
      <c r="M7" s="2"/>
      <c r="N7" s="2"/>
      <c r="O7" s="2"/>
      <c r="P7" s="2"/>
      <c r="Q7" s="2"/>
      <c r="R7" s="2"/>
      <c r="S7" s="2"/>
      <c r="T7" s="2"/>
      <c r="U7" s="2"/>
      <c r="V7" s="2"/>
      <c r="W7" s="2"/>
      <c r="X7" s="2"/>
      <c r="Y7" s="2"/>
      <c r="Z7" s="2"/>
    </row>
    <row r="8" ht="107.25" customHeight="1">
      <c r="A8" s="13">
        <v>4.0</v>
      </c>
      <c r="B8" s="13" t="s">
        <v>359</v>
      </c>
      <c r="C8" s="13" t="s">
        <v>359</v>
      </c>
      <c r="D8" s="13" t="s">
        <v>360</v>
      </c>
      <c r="E8" s="13" t="s">
        <v>361</v>
      </c>
      <c r="F8" s="13" t="s">
        <v>362</v>
      </c>
      <c r="G8" s="13">
        <v>25.0</v>
      </c>
      <c r="H8" s="2"/>
      <c r="I8" s="2"/>
      <c r="J8" s="2"/>
      <c r="K8" s="2"/>
      <c r="L8" s="2"/>
      <c r="M8" s="2"/>
      <c r="N8" s="2"/>
      <c r="O8" s="2"/>
      <c r="P8" s="2"/>
      <c r="Q8" s="2"/>
      <c r="R8" s="2"/>
      <c r="S8" s="2"/>
      <c r="T8" s="2"/>
      <c r="U8" s="2"/>
      <c r="V8" s="2"/>
      <c r="W8" s="2"/>
      <c r="X8" s="2"/>
      <c r="Y8" s="2"/>
      <c r="Z8" s="2"/>
    </row>
    <row r="9" ht="33.75" customHeight="1">
      <c r="A9" s="24">
        <v>5.0</v>
      </c>
      <c r="B9" s="24"/>
      <c r="C9" s="24"/>
      <c r="D9" s="24"/>
      <c r="E9" s="24"/>
      <c r="F9" s="24"/>
      <c r="G9" s="24"/>
      <c r="H9" s="2"/>
      <c r="I9" s="2"/>
      <c r="J9" s="2"/>
      <c r="K9" s="2"/>
      <c r="L9" s="2"/>
      <c r="M9" s="2"/>
      <c r="N9" s="2"/>
      <c r="O9" s="2"/>
      <c r="P9" s="2"/>
      <c r="Q9" s="2"/>
      <c r="R9" s="2"/>
      <c r="S9" s="2"/>
      <c r="T9" s="2"/>
      <c r="U9" s="2"/>
      <c r="V9" s="2"/>
      <c r="W9" s="2"/>
      <c r="X9" s="2"/>
      <c r="Y9" s="2"/>
      <c r="Z9" s="2"/>
    </row>
    <row r="10" ht="33.75" customHeight="1">
      <c r="A10" s="22">
        <v>6.0</v>
      </c>
      <c r="B10" s="22"/>
      <c r="C10" s="22"/>
      <c r="D10" s="22"/>
      <c r="E10" s="22"/>
      <c r="F10" s="22"/>
      <c r="G10" s="22"/>
      <c r="H10" s="2"/>
      <c r="I10" s="2"/>
      <c r="J10" s="2"/>
      <c r="K10" s="2"/>
      <c r="L10" s="2"/>
      <c r="M10" s="2"/>
      <c r="N10" s="2"/>
      <c r="O10" s="2"/>
      <c r="P10" s="2"/>
      <c r="Q10" s="2"/>
      <c r="R10" s="2"/>
      <c r="S10" s="2"/>
      <c r="T10" s="2"/>
      <c r="U10" s="2"/>
      <c r="V10" s="2"/>
      <c r="W10" s="2"/>
      <c r="X10" s="2"/>
      <c r="Y10" s="2"/>
      <c r="Z10" s="2"/>
    </row>
    <row r="11" ht="33.75" customHeight="1">
      <c r="A11" s="24">
        <v>7.0</v>
      </c>
      <c r="B11" s="24"/>
      <c r="C11" s="24"/>
      <c r="D11" s="24"/>
      <c r="E11" s="24"/>
      <c r="F11" s="24"/>
      <c r="G11" s="24"/>
      <c r="H11" s="2"/>
      <c r="I11" s="2"/>
      <c r="J11" s="2"/>
      <c r="K11" s="2"/>
      <c r="L11" s="2"/>
      <c r="M11" s="2"/>
      <c r="N11" s="2"/>
      <c r="O11" s="2"/>
      <c r="P11" s="2"/>
      <c r="Q11" s="2"/>
      <c r="R11" s="2"/>
      <c r="S11" s="2"/>
      <c r="T11" s="2"/>
      <c r="U11" s="2"/>
      <c r="V11" s="2"/>
      <c r="W11" s="2"/>
      <c r="X11" s="2"/>
      <c r="Y11" s="2"/>
      <c r="Z11" s="2"/>
    </row>
    <row r="12" ht="33.75" customHeight="1">
      <c r="A12" s="22">
        <v>8.0</v>
      </c>
      <c r="B12" s="22"/>
      <c r="C12" s="22"/>
      <c r="D12" s="22"/>
      <c r="E12" s="22"/>
      <c r="F12" s="22"/>
      <c r="G12" s="2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9" t="s">
        <v>363</v>
      </c>
      <c r="B15" s="2"/>
      <c r="C15" s="2"/>
      <c r="D15" s="2"/>
      <c r="E15" s="2"/>
      <c r="F15" s="2"/>
      <c r="G15" s="2"/>
      <c r="H15" s="2"/>
      <c r="I15" s="2"/>
      <c r="J15" s="2"/>
      <c r="K15" s="2"/>
      <c r="L15" s="2"/>
      <c r="M15" s="2"/>
      <c r="N15" s="2"/>
      <c r="O15" s="2"/>
      <c r="P15" s="2"/>
      <c r="Q15" s="2"/>
      <c r="R15" s="2"/>
      <c r="S15" s="2"/>
      <c r="T15" s="2"/>
      <c r="U15" s="2"/>
      <c r="V15" s="2"/>
      <c r="W15" s="2"/>
      <c r="X15" s="2"/>
      <c r="Y15" s="2"/>
      <c r="Z15" s="2"/>
    </row>
    <row r="16" ht="21.75" customHeight="1">
      <c r="A16" s="7" t="s">
        <v>364</v>
      </c>
      <c r="B16" s="30">
        <v>1.0</v>
      </c>
      <c r="C16" s="2"/>
      <c r="D16" s="2"/>
      <c r="E16" s="2"/>
      <c r="F16" s="2"/>
      <c r="G16" s="2"/>
      <c r="H16" s="2"/>
      <c r="I16" s="2"/>
      <c r="J16" s="2"/>
      <c r="K16" s="2"/>
      <c r="L16" s="2"/>
      <c r="M16" s="2"/>
      <c r="N16" s="2"/>
      <c r="O16" s="2"/>
      <c r="P16" s="2"/>
      <c r="Q16" s="2"/>
      <c r="R16" s="2"/>
      <c r="S16" s="2"/>
      <c r="T16" s="2"/>
      <c r="U16" s="2"/>
      <c r="V16" s="2"/>
      <c r="W16" s="2"/>
      <c r="X16" s="2"/>
      <c r="Y16" s="2"/>
      <c r="Z16" s="2"/>
    </row>
    <row r="17" ht="21.75" customHeight="1">
      <c r="A17" s="7" t="s">
        <v>365</v>
      </c>
      <c r="B17" s="30">
        <v>25.0</v>
      </c>
      <c r="C17" s="2"/>
      <c r="D17" s="2"/>
      <c r="E17" s="2"/>
      <c r="F17" s="2"/>
      <c r="G17" s="2"/>
      <c r="H17" s="2"/>
      <c r="I17" s="2"/>
      <c r="J17" s="2"/>
      <c r="K17" s="2"/>
      <c r="L17" s="2"/>
      <c r="M17" s="2"/>
      <c r="N17" s="2"/>
      <c r="O17" s="2"/>
      <c r="P17" s="2"/>
      <c r="Q17" s="2"/>
      <c r="R17" s="2"/>
      <c r="S17" s="2"/>
      <c r="T17" s="2"/>
      <c r="U17" s="2"/>
      <c r="V17" s="2"/>
      <c r="W17" s="2"/>
      <c r="X17" s="2"/>
      <c r="Y17" s="2"/>
      <c r="Z17" s="2"/>
    </row>
    <row r="18" ht="21.75" customHeight="1">
      <c r="A18" s="7" t="s">
        <v>366</v>
      </c>
      <c r="B18" s="30">
        <v>9.0</v>
      </c>
      <c r="C18" s="2"/>
      <c r="D18" s="2"/>
      <c r="E18" s="2"/>
      <c r="F18" s="2"/>
      <c r="G18" s="2"/>
      <c r="H18" s="2"/>
      <c r="I18" s="2"/>
      <c r="J18" s="2"/>
      <c r="K18" s="2"/>
      <c r="L18" s="2"/>
      <c r="M18" s="2"/>
      <c r="N18" s="2"/>
      <c r="O18" s="2"/>
      <c r="P18" s="2"/>
      <c r="Q18" s="2"/>
      <c r="R18" s="2"/>
      <c r="S18" s="2"/>
      <c r="T18" s="2"/>
      <c r="U18" s="2"/>
      <c r="V18" s="2"/>
      <c r="W18" s="2"/>
      <c r="X18" s="2"/>
      <c r="Y18" s="2"/>
      <c r="Z18" s="2"/>
    </row>
    <row r="19" ht="21.75" customHeight="1">
      <c r="A19" s="31" t="s">
        <v>367</v>
      </c>
      <c r="B19" s="19">
        <f>IF(COUNT(B16:B18)=3,B16*B17*B18,"")</f>
        <v>225</v>
      </c>
      <c r="C19" s="2"/>
      <c r="D19" s="2"/>
      <c r="E19" s="2"/>
      <c r="F19" s="2"/>
      <c r="G19" s="2"/>
      <c r="H19" s="2"/>
      <c r="I19" s="2"/>
      <c r="J19" s="2"/>
      <c r="K19" s="2"/>
      <c r="L19" s="2"/>
      <c r="M19" s="2"/>
      <c r="N19" s="2"/>
      <c r="O19" s="2"/>
      <c r="P19" s="2"/>
      <c r="Q19" s="2"/>
      <c r="R19" s="2"/>
      <c r="S19" s="2"/>
      <c r="T19" s="2"/>
      <c r="U19" s="2"/>
      <c r="V19" s="2"/>
      <c r="W19" s="2"/>
      <c r="X19" s="2"/>
      <c r="Y19" s="2"/>
      <c r="Z19" s="2"/>
    </row>
    <row r="20" ht="21.75" customHeight="1">
      <c r="A20" s="7" t="s">
        <v>368</v>
      </c>
      <c r="B20" s="30">
        <v>15.0</v>
      </c>
      <c r="C20" s="2"/>
      <c r="D20" s="2"/>
      <c r="E20" s="2"/>
      <c r="F20" s="2"/>
      <c r="G20" s="2"/>
      <c r="H20" s="2"/>
      <c r="I20" s="2"/>
      <c r="J20" s="2"/>
      <c r="K20" s="2"/>
      <c r="L20" s="2"/>
      <c r="M20" s="2"/>
      <c r="N20" s="2"/>
      <c r="O20" s="2"/>
      <c r="P20" s="2"/>
      <c r="Q20" s="2"/>
      <c r="R20" s="2"/>
      <c r="S20" s="2"/>
      <c r="T20" s="2"/>
      <c r="U20" s="2"/>
      <c r="V20" s="2"/>
      <c r="W20" s="2"/>
      <c r="X20" s="2"/>
      <c r="Y20" s="2"/>
      <c r="Z20" s="2"/>
    </row>
    <row r="21" ht="21.75" customHeight="1">
      <c r="A21" s="31" t="s">
        <v>369</v>
      </c>
      <c r="B21" s="19">
        <f>IF(B19="","",B19-N(B20))</f>
        <v>210</v>
      </c>
      <c r="C21" s="2"/>
      <c r="D21" s="2"/>
      <c r="E21" s="2"/>
      <c r="F21" s="2"/>
      <c r="G21" s="2"/>
      <c r="H21" s="2"/>
      <c r="I21" s="2"/>
      <c r="J21" s="2"/>
      <c r="K21" s="2"/>
      <c r="L21" s="2"/>
      <c r="M21" s="2"/>
      <c r="N21" s="2"/>
      <c r="O21" s="2"/>
      <c r="P21" s="2"/>
      <c r="Q21" s="2"/>
      <c r="R21" s="2"/>
      <c r="S21" s="2"/>
      <c r="T21" s="2"/>
      <c r="U21" s="2"/>
      <c r="V21" s="2"/>
      <c r="W21" s="2"/>
      <c r="X21" s="2"/>
      <c r="Y21" s="2"/>
      <c r="Z21" s="2"/>
    </row>
    <row r="22" ht="21.75" customHeight="1">
      <c r="A22" s="31" t="s">
        <v>370</v>
      </c>
      <c r="B22" s="19">
        <f>SUM(G5:G12)</f>
        <v>200</v>
      </c>
      <c r="C22" s="2"/>
      <c r="D22" s="2"/>
      <c r="E22" s="2"/>
      <c r="F22" s="2"/>
      <c r="G22" s="2"/>
      <c r="H22" s="2"/>
      <c r="I22" s="2"/>
      <c r="J22" s="2"/>
      <c r="K22" s="2"/>
      <c r="L22" s="2"/>
      <c r="M22" s="2"/>
      <c r="N22" s="2"/>
      <c r="O22" s="2"/>
      <c r="P22" s="2"/>
      <c r="Q22" s="2"/>
      <c r="R22" s="2"/>
      <c r="S22" s="2"/>
      <c r="T22" s="2"/>
      <c r="U22" s="2"/>
      <c r="V22" s="2"/>
      <c r="W22" s="2"/>
      <c r="X22" s="2"/>
      <c r="Y22" s="2"/>
      <c r="Z22" s="2"/>
    </row>
    <row r="23" ht="21.75" customHeight="1">
      <c r="A23" s="31" t="s">
        <v>371</v>
      </c>
      <c r="B23" s="19">
        <f>IF(B21="","",B21-B22)</f>
        <v>10</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9" t="s">
        <v>372</v>
      </c>
      <c r="B25" s="2"/>
      <c r="C25" s="2"/>
      <c r="D25" s="2"/>
      <c r="E25" s="2"/>
      <c r="F25" s="2"/>
      <c r="G25" s="2"/>
      <c r="H25" s="2"/>
      <c r="I25" s="2"/>
      <c r="J25" s="2"/>
      <c r="K25" s="2"/>
      <c r="L25" s="2"/>
      <c r="M25" s="2"/>
      <c r="N25" s="2"/>
      <c r="O25" s="2"/>
      <c r="P25" s="2"/>
      <c r="Q25" s="2"/>
      <c r="R25" s="2"/>
      <c r="S25" s="2"/>
      <c r="T25" s="2"/>
      <c r="U25" s="2"/>
      <c r="V25" s="2"/>
      <c r="W25" s="2"/>
      <c r="X25" s="2"/>
      <c r="Y25" s="2"/>
      <c r="Z25" s="2"/>
    </row>
    <row r="26" ht="25.5" customHeight="1">
      <c r="A26" s="31" t="s">
        <v>373</v>
      </c>
      <c r="B26" s="32" t="s">
        <v>374</v>
      </c>
      <c r="C26" s="33"/>
      <c r="D26" s="33"/>
      <c r="E26" s="33"/>
      <c r="F26" s="34"/>
      <c r="G26" s="2"/>
      <c r="H26" s="2"/>
      <c r="I26" s="2"/>
      <c r="J26" s="2"/>
      <c r="K26" s="2"/>
      <c r="L26" s="2"/>
      <c r="M26" s="2"/>
      <c r="N26" s="2"/>
      <c r="O26" s="2"/>
      <c r="P26" s="2"/>
      <c r="Q26" s="2"/>
      <c r="R26" s="2"/>
      <c r="S26" s="2"/>
      <c r="T26" s="2"/>
      <c r="U26" s="2"/>
      <c r="V26" s="2"/>
      <c r="W26" s="2"/>
      <c r="X26" s="2"/>
      <c r="Y26" s="2"/>
      <c r="Z26" s="2"/>
    </row>
    <row r="27" ht="25.5" customHeight="1">
      <c r="A27" s="31" t="s">
        <v>375</v>
      </c>
      <c r="B27" s="32" t="s">
        <v>376</v>
      </c>
      <c r="C27" s="33"/>
      <c r="D27" s="33"/>
      <c r="E27" s="33"/>
      <c r="F27" s="34"/>
      <c r="G27" s="2"/>
      <c r="H27" s="2"/>
      <c r="I27" s="2"/>
      <c r="J27" s="2"/>
      <c r="K27" s="2"/>
      <c r="L27" s="2"/>
      <c r="M27" s="2"/>
      <c r="N27" s="2"/>
      <c r="O27" s="2"/>
      <c r="P27" s="2"/>
      <c r="Q27" s="2"/>
      <c r="R27" s="2"/>
      <c r="S27" s="2"/>
      <c r="T27" s="2"/>
      <c r="U27" s="2"/>
      <c r="V27" s="2"/>
      <c r="W27" s="2"/>
      <c r="X27" s="2"/>
      <c r="Y27" s="2"/>
      <c r="Z27" s="2"/>
    </row>
    <row r="28" ht="25.5" customHeight="1">
      <c r="A28" s="31" t="s">
        <v>377</v>
      </c>
      <c r="B28" s="35" t="s">
        <v>378</v>
      </c>
      <c r="C28" s="33"/>
      <c r="D28" s="33"/>
      <c r="E28" s="33"/>
      <c r="F28" s="34"/>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1:G1"/>
    <mergeCell ref="A2:G2"/>
    <mergeCell ref="B26:F26"/>
    <mergeCell ref="B27:F27"/>
    <mergeCell ref="B28:F28"/>
  </mergeCells>
  <printOptions/>
  <pageMargins bottom="1.0" footer="0.0" header="0.0" left="0.75" right="0.75" top="1.0"/>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1.0"/>
    <col customWidth="1" min="2" max="2" width="51.14"/>
    <col customWidth="1" min="3" max="3" width="11.0"/>
    <col customWidth="1" min="4" max="4" width="14.0"/>
    <col customWidth="1" min="5" max="6" width="15.0"/>
    <col customWidth="1" min="7" max="7" width="112.14"/>
  </cols>
  <sheetData>
    <row r="1" ht="19.5" customHeight="1">
      <c r="A1" s="1" t="s">
        <v>379</v>
      </c>
      <c r="H1" s="2"/>
      <c r="I1" s="2"/>
      <c r="J1" s="2"/>
      <c r="K1" s="2"/>
      <c r="L1" s="2"/>
      <c r="M1" s="2"/>
      <c r="N1" s="2"/>
      <c r="O1" s="2"/>
      <c r="P1" s="2"/>
      <c r="Q1" s="2"/>
      <c r="R1" s="2"/>
      <c r="S1" s="2"/>
      <c r="T1" s="2"/>
      <c r="U1" s="2"/>
      <c r="V1" s="2"/>
      <c r="W1" s="2"/>
      <c r="X1" s="2"/>
      <c r="Y1" s="2"/>
      <c r="Z1" s="2"/>
    </row>
    <row r="2" ht="20.25" customHeight="1">
      <c r="A2" s="4" t="s">
        <v>380</v>
      </c>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30.0" customHeight="1">
      <c r="A4" s="6" t="s">
        <v>381</v>
      </c>
      <c r="B4" s="6" t="s">
        <v>382</v>
      </c>
      <c r="C4" s="6" t="s">
        <v>383</v>
      </c>
      <c r="D4" s="6" t="s">
        <v>384</v>
      </c>
      <c r="E4" s="6" t="s">
        <v>385</v>
      </c>
      <c r="F4" s="6" t="s">
        <v>386</v>
      </c>
      <c r="G4" s="6" t="s">
        <v>387</v>
      </c>
      <c r="H4" s="2"/>
      <c r="I4" s="2"/>
      <c r="J4" s="2"/>
      <c r="K4" s="2"/>
      <c r="L4" s="2"/>
      <c r="M4" s="2"/>
      <c r="N4" s="2"/>
      <c r="O4" s="2"/>
      <c r="P4" s="2"/>
      <c r="Q4" s="2"/>
      <c r="R4" s="2"/>
      <c r="S4" s="2"/>
      <c r="T4" s="2"/>
      <c r="U4" s="2"/>
      <c r="V4" s="2"/>
      <c r="W4" s="2"/>
      <c r="X4" s="2"/>
      <c r="Y4" s="2"/>
      <c r="Z4" s="2"/>
    </row>
    <row r="5" ht="48.0" customHeight="1">
      <c r="A5" s="13" t="s">
        <v>388</v>
      </c>
      <c r="B5" s="26" t="s">
        <v>389</v>
      </c>
      <c r="C5" s="13">
        <f>Iteraciones!G5+Iteraciones!G6+Iteraciones!G7+Iteraciones!G8</f>
        <v>200</v>
      </c>
      <c r="D5" s="13" t="s">
        <v>390</v>
      </c>
      <c r="E5" s="36">
        <v>21600.0</v>
      </c>
      <c r="F5" s="37">
        <f t="shared" ref="F5:F8" si="1">IF(OR($C5="",$E5=""),"",$C5*$E5)</f>
        <v>4320000</v>
      </c>
      <c r="G5" s="38" t="s">
        <v>391</v>
      </c>
      <c r="H5" s="2"/>
      <c r="I5" s="2"/>
      <c r="J5" s="2"/>
      <c r="K5" s="2"/>
      <c r="L5" s="2"/>
      <c r="M5" s="2"/>
      <c r="N5" s="2"/>
      <c r="O5" s="2"/>
      <c r="P5" s="2"/>
      <c r="Q5" s="2"/>
      <c r="R5" s="2"/>
      <c r="S5" s="2"/>
      <c r="T5" s="2"/>
      <c r="U5" s="2"/>
      <c r="V5" s="2"/>
      <c r="W5" s="2"/>
      <c r="X5" s="2"/>
      <c r="Y5" s="2"/>
      <c r="Z5" s="2"/>
    </row>
    <row r="6" ht="34.5" customHeight="1">
      <c r="A6" s="39" t="s">
        <v>388</v>
      </c>
      <c r="B6" s="39" t="s">
        <v>392</v>
      </c>
      <c r="C6" s="39">
        <v>3.0</v>
      </c>
      <c r="D6" s="39" t="s">
        <v>390</v>
      </c>
      <c r="E6" s="40">
        <v>0.0</v>
      </c>
      <c r="F6" s="37">
        <f t="shared" si="1"/>
        <v>0</v>
      </c>
      <c r="G6" s="39" t="s">
        <v>393</v>
      </c>
      <c r="H6" s="2"/>
      <c r="I6" s="2"/>
      <c r="J6" s="2"/>
      <c r="K6" s="2"/>
      <c r="L6" s="2"/>
      <c r="M6" s="2"/>
      <c r="N6" s="2"/>
      <c r="O6" s="2"/>
      <c r="P6" s="2"/>
      <c r="Q6" s="2"/>
      <c r="R6" s="2"/>
      <c r="S6" s="2"/>
      <c r="T6" s="2"/>
      <c r="U6" s="2"/>
      <c r="V6" s="2"/>
      <c r="W6" s="2"/>
      <c r="X6" s="2"/>
      <c r="Y6" s="2"/>
      <c r="Z6" s="2"/>
    </row>
    <row r="7" ht="34.5" customHeight="1">
      <c r="A7" s="41" t="s">
        <v>394</v>
      </c>
      <c r="B7" s="41" t="s">
        <v>395</v>
      </c>
      <c r="C7" s="41">
        <v>1.0</v>
      </c>
      <c r="D7" s="41" t="s">
        <v>396</v>
      </c>
      <c r="E7" s="42">
        <v>0.0</v>
      </c>
      <c r="F7" s="37">
        <f t="shared" si="1"/>
        <v>0</v>
      </c>
      <c r="G7" s="41" t="s">
        <v>397</v>
      </c>
      <c r="H7" s="2"/>
      <c r="I7" s="2"/>
      <c r="J7" s="2"/>
      <c r="K7" s="2"/>
      <c r="L7" s="2"/>
      <c r="M7" s="2"/>
      <c r="N7" s="2"/>
      <c r="O7" s="2"/>
      <c r="P7" s="2"/>
      <c r="Q7" s="2"/>
      <c r="R7" s="2"/>
      <c r="S7" s="2"/>
      <c r="T7" s="2"/>
      <c r="U7" s="2"/>
      <c r="V7" s="2"/>
      <c r="W7" s="2"/>
      <c r="X7" s="2"/>
      <c r="Y7" s="2"/>
      <c r="Z7" s="2"/>
    </row>
    <row r="8" ht="34.5" customHeight="1">
      <c r="A8" s="39" t="s">
        <v>398</v>
      </c>
      <c r="B8" s="39" t="s">
        <v>399</v>
      </c>
      <c r="C8" s="39">
        <v>1.0</v>
      </c>
      <c r="D8" s="39" t="s">
        <v>400</v>
      </c>
      <c r="E8" s="40">
        <v>0.0</v>
      </c>
      <c r="F8" s="37">
        <f t="shared" si="1"/>
        <v>0</v>
      </c>
      <c r="G8" s="39" t="s">
        <v>401</v>
      </c>
      <c r="H8" s="2"/>
      <c r="I8" s="2"/>
      <c r="J8" s="2"/>
      <c r="K8" s="2"/>
      <c r="L8" s="2"/>
      <c r="M8" s="2"/>
      <c r="N8" s="2"/>
      <c r="O8" s="2"/>
      <c r="P8" s="2"/>
      <c r="Q8" s="2"/>
      <c r="R8" s="2"/>
      <c r="S8" s="2"/>
      <c r="T8" s="2"/>
      <c r="U8" s="2"/>
      <c r="V8" s="2"/>
      <c r="W8" s="2"/>
      <c r="X8" s="2"/>
      <c r="Y8" s="2"/>
      <c r="Z8" s="2"/>
    </row>
    <row r="9" ht="50.25" customHeight="1">
      <c r="A9" s="41" t="s">
        <v>398</v>
      </c>
      <c r="B9" s="41" t="s">
        <v>402</v>
      </c>
      <c r="C9" s="41" t="s">
        <v>403</v>
      </c>
      <c r="D9" s="41" t="s">
        <v>404</v>
      </c>
      <c r="E9" s="41" t="s">
        <v>405</v>
      </c>
      <c r="F9" s="37"/>
      <c r="G9" s="43" t="s">
        <v>406</v>
      </c>
      <c r="H9" s="2"/>
      <c r="I9" s="2"/>
      <c r="J9" s="2"/>
      <c r="K9" s="2"/>
      <c r="L9" s="2"/>
      <c r="M9" s="2"/>
      <c r="N9" s="2"/>
      <c r="O9" s="2"/>
      <c r="P9" s="2"/>
      <c r="Q9" s="2"/>
      <c r="R9" s="2"/>
      <c r="S9" s="2"/>
      <c r="T9" s="2"/>
      <c r="U9" s="2"/>
      <c r="V9" s="2"/>
      <c r="W9" s="2"/>
      <c r="X9" s="2"/>
      <c r="Y9" s="2"/>
      <c r="Z9" s="2"/>
    </row>
    <row r="10" ht="34.5" customHeight="1">
      <c r="A10" s="39" t="s">
        <v>407</v>
      </c>
      <c r="B10" s="39" t="s">
        <v>408</v>
      </c>
      <c r="C10" s="39">
        <v>1.0</v>
      </c>
      <c r="D10" s="39" t="s">
        <v>409</v>
      </c>
      <c r="E10" s="40">
        <v>0.0</v>
      </c>
      <c r="F10" s="37">
        <f t="shared" ref="F10:F38" si="2">IF(OR($C10="",$E10=""),"",$C10*$E10)</f>
        <v>0</v>
      </c>
      <c r="G10" s="39" t="s">
        <v>410</v>
      </c>
      <c r="H10" s="2"/>
      <c r="I10" s="2"/>
      <c r="J10" s="2"/>
      <c r="K10" s="2"/>
      <c r="L10" s="2"/>
      <c r="M10" s="2"/>
      <c r="N10" s="2"/>
      <c r="O10" s="2"/>
      <c r="P10" s="2"/>
      <c r="Q10" s="2"/>
      <c r="R10" s="2"/>
      <c r="S10" s="2"/>
      <c r="T10" s="2"/>
      <c r="U10" s="2"/>
      <c r="V10" s="2"/>
      <c r="W10" s="2"/>
      <c r="X10" s="2"/>
      <c r="Y10" s="2"/>
      <c r="Z10" s="2"/>
    </row>
    <row r="11" ht="34.5" customHeight="1">
      <c r="A11" s="41" t="s">
        <v>407</v>
      </c>
      <c r="B11" s="41" t="s">
        <v>411</v>
      </c>
      <c r="C11" s="41">
        <v>1.0</v>
      </c>
      <c r="D11" s="41" t="s">
        <v>409</v>
      </c>
      <c r="E11" s="42">
        <v>0.0</v>
      </c>
      <c r="F11" s="37">
        <f t="shared" si="2"/>
        <v>0</v>
      </c>
      <c r="G11" s="41" t="s">
        <v>410</v>
      </c>
      <c r="H11" s="2"/>
      <c r="I11" s="2"/>
      <c r="J11" s="2"/>
      <c r="K11" s="2"/>
      <c r="L11" s="2"/>
      <c r="M11" s="2"/>
      <c r="N11" s="2"/>
      <c r="O11" s="2"/>
      <c r="P11" s="2"/>
      <c r="Q11" s="2"/>
      <c r="R11" s="2"/>
      <c r="S11" s="2"/>
      <c r="T11" s="2"/>
      <c r="U11" s="2"/>
      <c r="V11" s="2"/>
      <c r="W11" s="2"/>
      <c r="X11" s="2"/>
      <c r="Y11" s="2"/>
      <c r="Z11" s="2"/>
    </row>
    <row r="12" ht="37.5" customHeight="1">
      <c r="A12" s="39" t="s">
        <v>407</v>
      </c>
      <c r="B12" s="39" t="s">
        <v>412</v>
      </c>
      <c r="C12" s="39">
        <v>1.0</v>
      </c>
      <c r="D12" s="39" t="s">
        <v>413</v>
      </c>
      <c r="E12" s="40">
        <v>0.0</v>
      </c>
      <c r="F12" s="37">
        <f t="shared" si="2"/>
        <v>0</v>
      </c>
      <c r="G12" s="39" t="s">
        <v>414</v>
      </c>
      <c r="H12" s="2"/>
      <c r="I12" s="2"/>
      <c r="J12" s="2"/>
      <c r="K12" s="2"/>
      <c r="L12" s="2"/>
      <c r="M12" s="2"/>
      <c r="N12" s="2"/>
      <c r="O12" s="2"/>
      <c r="P12" s="2"/>
      <c r="Q12" s="2"/>
      <c r="R12" s="2"/>
      <c r="S12" s="2"/>
      <c r="T12" s="2"/>
      <c r="U12" s="2"/>
      <c r="V12" s="2"/>
      <c r="W12" s="2"/>
      <c r="X12" s="2"/>
      <c r="Y12" s="2"/>
      <c r="Z12" s="2"/>
    </row>
    <row r="13" ht="37.5" customHeight="1">
      <c r="A13" s="39" t="s">
        <v>407</v>
      </c>
      <c r="B13" s="39" t="s">
        <v>415</v>
      </c>
      <c r="C13" s="39">
        <v>1.0</v>
      </c>
      <c r="D13" s="39" t="s">
        <v>413</v>
      </c>
      <c r="E13" s="40">
        <v>0.0</v>
      </c>
      <c r="F13" s="37">
        <f t="shared" si="2"/>
        <v>0</v>
      </c>
      <c r="G13" s="39" t="s">
        <v>416</v>
      </c>
      <c r="H13" s="2"/>
      <c r="I13" s="2"/>
      <c r="J13" s="2"/>
      <c r="K13" s="2"/>
      <c r="L13" s="2"/>
      <c r="M13" s="2"/>
      <c r="N13" s="2"/>
      <c r="O13" s="2"/>
      <c r="P13" s="2"/>
      <c r="Q13" s="2"/>
      <c r="R13" s="2"/>
      <c r="S13" s="2"/>
      <c r="T13" s="2"/>
      <c r="U13" s="2"/>
      <c r="V13" s="2"/>
      <c r="W13" s="2"/>
      <c r="X13" s="2"/>
      <c r="Y13" s="2"/>
      <c r="Z13" s="2"/>
    </row>
    <row r="14" ht="37.5" customHeight="1">
      <c r="A14" s="39" t="s">
        <v>407</v>
      </c>
      <c r="B14" s="39" t="s">
        <v>417</v>
      </c>
      <c r="C14" s="39">
        <v>1.0</v>
      </c>
      <c r="D14" s="39" t="s">
        <v>413</v>
      </c>
      <c r="E14" s="40">
        <v>0.0</v>
      </c>
      <c r="F14" s="37">
        <f t="shared" si="2"/>
        <v>0</v>
      </c>
      <c r="G14" s="39" t="s">
        <v>418</v>
      </c>
      <c r="H14" s="2"/>
      <c r="I14" s="2"/>
      <c r="J14" s="2"/>
      <c r="K14" s="2"/>
      <c r="L14" s="2"/>
      <c r="M14" s="2"/>
      <c r="N14" s="2"/>
      <c r="O14" s="2"/>
      <c r="P14" s="2"/>
      <c r="Q14" s="2"/>
      <c r="R14" s="2"/>
      <c r="S14" s="2"/>
      <c r="T14" s="2"/>
      <c r="U14" s="2"/>
      <c r="V14" s="2"/>
      <c r="W14" s="2"/>
      <c r="X14" s="2"/>
      <c r="Y14" s="2"/>
      <c r="Z14" s="2"/>
    </row>
    <row r="15" ht="37.5" customHeight="1">
      <c r="A15" s="39" t="s">
        <v>407</v>
      </c>
      <c r="B15" s="39" t="s">
        <v>419</v>
      </c>
      <c r="C15" s="39">
        <v>1.0</v>
      </c>
      <c r="D15" s="39" t="s">
        <v>413</v>
      </c>
      <c r="E15" s="40">
        <v>0.0</v>
      </c>
      <c r="F15" s="37">
        <f t="shared" si="2"/>
        <v>0</v>
      </c>
      <c r="G15" s="39" t="s">
        <v>420</v>
      </c>
      <c r="H15" s="2"/>
      <c r="I15" s="2"/>
      <c r="J15" s="2"/>
      <c r="K15" s="2"/>
      <c r="L15" s="2"/>
      <c r="M15" s="2"/>
      <c r="N15" s="2"/>
      <c r="O15" s="2"/>
      <c r="P15" s="2"/>
      <c r="Q15" s="2"/>
      <c r="R15" s="2"/>
      <c r="S15" s="2"/>
      <c r="T15" s="2"/>
      <c r="U15" s="2"/>
      <c r="V15" s="2"/>
      <c r="W15" s="2"/>
      <c r="X15" s="2"/>
      <c r="Y15" s="2"/>
      <c r="Z15" s="2"/>
    </row>
    <row r="16" ht="34.5" customHeight="1">
      <c r="A16" s="41" t="s">
        <v>407</v>
      </c>
      <c r="B16" s="41" t="s">
        <v>421</v>
      </c>
      <c r="C16" s="41">
        <v>1.0</v>
      </c>
      <c r="D16" s="39" t="s">
        <v>413</v>
      </c>
      <c r="E16" s="40">
        <v>0.0</v>
      </c>
      <c r="F16" s="37">
        <f t="shared" si="2"/>
        <v>0</v>
      </c>
      <c r="G16" s="41" t="s">
        <v>422</v>
      </c>
      <c r="H16" s="2"/>
      <c r="I16" s="2"/>
      <c r="J16" s="2"/>
      <c r="K16" s="2"/>
      <c r="L16" s="2"/>
      <c r="M16" s="2"/>
      <c r="N16" s="2"/>
      <c r="O16" s="2"/>
      <c r="P16" s="2"/>
      <c r="Q16" s="2"/>
      <c r="R16" s="2"/>
      <c r="S16" s="2"/>
      <c r="T16" s="2"/>
      <c r="U16" s="2"/>
      <c r="V16" s="2"/>
      <c r="W16" s="2"/>
      <c r="X16" s="2"/>
      <c r="Y16" s="2"/>
      <c r="Z16" s="2"/>
    </row>
    <row r="17" ht="34.5" customHeight="1">
      <c r="A17" s="39" t="s">
        <v>407</v>
      </c>
      <c r="B17" s="39" t="s">
        <v>423</v>
      </c>
      <c r="C17" s="41">
        <v>1.0</v>
      </c>
      <c r="D17" s="39" t="s">
        <v>413</v>
      </c>
      <c r="E17" s="40">
        <v>0.0</v>
      </c>
      <c r="F17" s="37">
        <f t="shared" si="2"/>
        <v>0</v>
      </c>
      <c r="G17" s="39" t="s">
        <v>424</v>
      </c>
      <c r="H17" s="2"/>
      <c r="I17" s="2"/>
      <c r="J17" s="2"/>
      <c r="K17" s="2"/>
      <c r="L17" s="2"/>
      <c r="M17" s="2"/>
      <c r="N17" s="2"/>
      <c r="O17" s="2"/>
      <c r="P17" s="2"/>
      <c r="Q17" s="2"/>
      <c r="R17" s="2"/>
      <c r="S17" s="2"/>
      <c r="T17" s="2"/>
      <c r="U17" s="2"/>
      <c r="V17" s="2"/>
      <c r="W17" s="2"/>
      <c r="X17" s="2"/>
      <c r="Y17" s="2"/>
      <c r="Z17" s="2"/>
    </row>
    <row r="18" ht="34.5" customHeight="1">
      <c r="A18" s="39" t="s">
        <v>407</v>
      </c>
      <c r="B18" s="39" t="s">
        <v>425</v>
      </c>
      <c r="C18" s="41">
        <v>1.0</v>
      </c>
      <c r="D18" s="39" t="s">
        <v>409</v>
      </c>
      <c r="E18" s="40">
        <v>0.0</v>
      </c>
      <c r="F18" s="37">
        <f t="shared" si="2"/>
        <v>0</v>
      </c>
      <c r="G18" s="39" t="s">
        <v>426</v>
      </c>
      <c r="H18" s="2"/>
      <c r="I18" s="2"/>
      <c r="J18" s="2"/>
      <c r="K18" s="2"/>
      <c r="L18" s="2"/>
      <c r="M18" s="2"/>
      <c r="N18" s="2"/>
      <c r="O18" s="2"/>
      <c r="P18" s="2"/>
      <c r="Q18" s="2"/>
      <c r="R18" s="2"/>
      <c r="S18" s="2"/>
      <c r="T18" s="2"/>
      <c r="U18" s="2"/>
      <c r="V18" s="2"/>
      <c r="W18" s="2"/>
      <c r="X18" s="2"/>
      <c r="Y18" s="2"/>
      <c r="Z18" s="2"/>
    </row>
    <row r="19" ht="41.25" customHeight="1">
      <c r="A19" s="41" t="s">
        <v>427</v>
      </c>
      <c r="B19" s="41" t="s">
        <v>428</v>
      </c>
      <c r="C19" s="41">
        <v>4.0</v>
      </c>
      <c r="D19" s="41" t="s">
        <v>390</v>
      </c>
      <c r="E19" s="42">
        <v>0.0</v>
      </c>
      <c r="F19" s="37">
        <f t="shared" si="2"/>
        <v>0</v>
      </c>
      <c r="G19" s="41" t="s">
        <v>429</v>
      </c>
      <c r="H19" s="2"/>
      <c r="I19" s="2"/>
      <c r="J19" s="2"/>
      <c r="K19" s="2"/>
      <c r="L19" s="2"/>
      <c r="M19" s="2"/>
      <c r="N19" s="2"/>
      <c r="O19" s="2"/>
      <c r="P19" s="2"/>
      <c r="Q19" s="2"/>
      <c r="R19" s="2"/>
      <c r="S19" s="2"/>
      <c r="T19" s="2"/>
      <c r="U19" s="2"/>
      <c r="V19" s="2"/>
      <c r="W19" s="2"/>
      <c r="X19" s="2"/>
      <c r="Y19" s="2"/>
      <c r="Z19" s="2"/>
    </row>
    <row r="20" ht="34.5" customHeight="1">
      <c r="A20" s="39" t="s">
        <v>427</v>
      </c>
      <c r="B20" s="39" t="s">
        <v>430</v>
      </c>
      <c r="C20" s="39">
        <v>0.0</v>
      </c>
      <c r="D20" s="39" t="s">
        <v>431</v>
      </c>
      <c r="E20" s="40">
        <v>0.0</v>
      </c>
      <c r="F20" s="37">
        <f t="shared" si="2"/>
        <v>0</v>
      </c>
      <c r="G20" s="39" t="s">
        <v>432</v>
      </c>
      <c r="H20" s="2"/>
      <c r="I20" s="2"/>
      <c r="J20" s="2"/>
      <c r="K20" s="2"/>
      <c r="L20" s="2"/>
      <c r="M20" s="2"/>
      <c r="N20" s="2"/>
      <c r="O20" s="2"/>
      <c r="P20" s="2"/>
      <c r="Q20" s="2"/>
      <c r="R20" s="2"/>
      <c r="S20" s="2"/>
      <c r="T20" s="2"/>
      <c r="U20" s="2"/>
      <c r="V20" s="2"/>
      <c r="W20" s="2"/>
      <c r="X20" s="2"/>
      <c r="Y20" s="2"/>
      <c r="Z20" s="2"/>
    </row>
    <row r="21" ht="33.75" customHeight="1">
      <c r="A21" s="24"/>
      <c r="B21" s="24"/>
      <c r="C21" s="24"/>
      <c r="D21" s="24"/>
      <c r="E21" s="44"/>
      <c r="F21" s="45" t="str">
        <f t="shared" si="2"/>
        <v/>
      </c>
      <c r="G21" s="24"/>
      <c r="H21" s="2"/>
      <c r="I21" s="2"/>
      <c r="J21" s="2"/>
      <c r="K21" s="2"/>
      <c r="L21" s="2"/>
      <c r="M21" s="2"/>
      <c r="N21" s="2"/>
      <c r="O21" s="2"/>
      <c r="P21" s="2"/>
      <c r="Q21" s="2"/>
      <c r="R21" s="2"/>
      <c r="S21" s="2"/>
      <c r="T21" s="2"/>
      <c r="U21" s="2"/>
      <c r="V21" s="2"/>
      <c r="W21" s="2"/>
      <c r="X21" s="2"/>
      <c r="Y21" s="2"/>
      <c r="Z21" s="2"/>
    </row>
    <row r="22" ht="33.75" customHeight="1">
      <c r="A22" s="22"/>
      <c r="B22" s="22"/>
      <c r="C22" s="22"/>
      <c r="D22" s="22"/>
      <c r="E22" s="46"/>
      <c r="F22" s="45" t="str">
        <f t="shared" si="2"/>
        <v/>
      </c>
      <c r="G22" s="22"/>
      <c r="H22" s="2"/>
      <c r="I22" s="2"/>
      <c r="J22" s="2"/>
      <c r="K22" s="2"/>
      <c r="L22" s="2"/>
      <c r="M22" s="2"/>
      <c r="N22" s="2"/>
      <c r="O22" s="2"/>
      <c r="P22" s="2"/>
      <c r="Q22" s="2"/>
      <c r="R22" s="2"/>
      <c r="S22" s="2"/>
      <c r="T22" s="2"/>
      <c r="U22" s="2"/>
      <c r="V22" s="2"/>
      <c r="W22" s="2"/>
      <c r="X22" s="2"/>
      <c r="Y22" s="2"/>
      <c r="Z22" s="2"/>
    </row>
    <row r="23" ht="33.75" customHeight="1">
      <c r="A23" s="24"/>
      <c r="B23" s="24"/>
      <c r="C23" s="24"/>
      <c r="D23" s="24"/>
      <c r="E23" s="44"/>
      <c r="F23" s="45" t="str">
        <f t="shared" si="2"/>
        <v/>
      </c>
      <c r="G23" s="24"/>
      <c r="H23" s="2"/>
      <c r="I23" s="2"/>
      <c r="J23" s="2"/>
      <c r="K23" s="2"/>
      <c r="L23" s="2"/>
      <c r="M23" s="2"/>
      <c r="N23" s="2"/>
      <c r="O23" s="2"/>
      <c r="P23" s="2"/>
      <c r="Q23" s="2"/>
      <c r="R23" s="2"/>
      <c r="S23" s="2"/>
      <c r="T23" s="2"/>
      <c r="U23" s="2"/>
      <c r="V23" s="2"/>
      <c r="W23" s="2"/>
      <c r="X23" s="2"/>
      <c r="Y23" s="2"/>
      <c r="Z23" s="2"/>
    </row>
    <row r="24" ht="33.75" customHeight="1">
      <c r="A24" s="22"/>
      <c r="B24" s="22"/>
      <c r="C24" s="22"/>
      <c r="D24" s="22"/>
      <c r="E24" s="46"/>
      <c r="F24" s="45" t="str">
        <f t="shared" si="2"/>
        <v/>
      </c>
      <c r="G24" s="22"/>
      <c r="H24" s="2"/>
      <c r="I24" s="2"/>
      <c r="J24" s="2"/>
      <c r="K24" s="2"/>
      <c r="L24" s="2"/>
      <c r="M24" s="2"/>
      <c r="N24" s="2"/>
      <c r="O24" s="2"/>
      <c r="P24" s="2"/>
      <c r="Q24" s="2"/>
      <c r="R24" s="2"/>
      <c r="S24" s="2"/>
      <c r="T24" s="2"/>
      <c r="U24" s="2"/>
      <c r="V24" s="2"/>
      <c r="W24" s="2"/>
      <c r="X24" s="2"/>
      <c r="Y24" s="2"/>
      <c r="Z24" s="2"/>
    </row>
    <row r="25" ht="33.75" customHeight="1">
      <c r="A25" s="24"/>
      <c r="B25" s="24"/>
      <c r="C25" s="24"/>
      <c r="D25" s="24"/>
      <c r="E25" s="44"/>
      <c r="F25" s="45" t="str">
        <f t="shared" si="2"/>
        <v/>
      </c>
      <c r="G25" s="24"/>
      <c r="H25" s="2"/>
      <c r="I25" s="2"/>
      <c r="J25" s="2"/>
      <c r="K25" s="2"/>
      <c r="L25" s="2"/>
      <c r="M25" s="2"/>
      <c r="N25" s="2"/>
      <c r="O25" s="2"/>
      <c r="P25" s="2"/>
      <c r="Q25" s="2"/>
      <c r="R25" s="2"/>
      <c r="S25" s="2"/>
      <c r="T25" s="2"/>
      <c r="U25" s="2"/>
      <c r="V25" s="2"/>
      <c r="W25" s="2"/>
      <c r="X25" s="2"/>
      <c r="Y25" s="2"/>
      <c r="Z25" s="2"/>
    </row>
    <row r="26" ht="33.75" customHeight="1">
      <c r="A26" s="22"/>
      <c r="B26" s="22"/>
      <c r="C26" s="22"/>
      <c r="D26" s="22"/>
      <c r="E26" s="46"/>
      <c r="F26" s="45" t="str">
        <f t="shared" si="2"/>
        <v/>
      </c>
      <c r="G26" s="22"/>
      <c r="H26" s="2"/>
      <c r="I26" s="2"/>
      <c r="J26" s="2"/>
      <c r="K26" s="2"/>
      <c r="L26" s="2"/>
      <c r="M26" s="2"/>
      <c r="N26" s="2"/>
      <c r="O26" s="2"/>
      <c r="P26" s="2"/>
      <c r="Q26" s="2"/>
      <c r="R26" s="2"/>
      <c r="S26" s="2"/>
      <c r="T26" s="2"/>
      <c r="U26" s="2"/>
      <c r="V26" s="2"/>
      <c r="W26" s="2"/>
      <c r="X26" s="2"/>
      <c r="Y26" s="2"/>
      <c r="Z26" s="2"/>
    </row>
    <row r="27" ht="33.75" customHeight="1">
      <c r="A27" s="24"/>
      <c r="B27" s="24"/>
      <c r="C27" s="24"/>
      <c r="D27" s="24"/>
      <c r="E27" s="44"/>
      <c r="F27" s="45" t="str">
        <f t="shared" si="2"/>
        <v/>
      </c>
      <c r="G27" s="24"/>
      <c r="H27" s="2"/>
      <c r="I27" s="2"/>
      <c r="J27" s="2"/>
      <c r="K27" s="2"/>
      <c r="L27" s="2"/>
      <c r="M27" s="2"/>
      <c r="N27" s="2"/>
      <c r="O27" s="2"/>
      <c r="P27" s="2"/>
      <c r="Q27" s="2"/>
      <c r="R27" s="2"/>
      <c r="S27" s="2"/>
      <c r="T27" s="2"/>
      <c r="U27" s="2"/>
      <c r="V27" s="2"/>
      <c r="W27" s="2"/>
      <c r="X27" s="2"/>
      <c r="Y27" s="2"/>
      <c r="Z27" s="2"/>
    </row>
    <row r="28" ht="33.75" customHeight="1">
      <c r="A28" s="22"/>
      <c r="B28" s="22"/>
      <c r="C28" s="22"/>
      <c r="D28" s="22"/>
      <c r="E28" s="46"/>
      <c r="F28" s="45" t="str">
        <f t="shared" si="2"/>
        <v/>
      </c>
      <c r="G28" s="22"/>
      <c r="H28" s="2"/>
      <c r="I28" s="2"/>
      <c r="J28" s="2"/>
      <c r="K28" s="2"/>
      <c r="L28" s="2"/>
      <c r="M28" s="2"/>
      <c r="N28" s="2"/>
      <c r="O28" s="2"/>
      <c r="P28" s="2"/>
      <c r="Q28" s="2"/>
      <c r="R28" s="2"/>
      <c r="S28" s="2"/>
      <c r="T28" s="2"/>
      <c r="U28" s="2"/>
      <c r="V28" s="2"/>
      <c r="W28" s="2"/>
      <c r="X28" s="2"/>
      <c r="Y28" s="2"/>
      <c r="Z28" s="2"/>
    </row>
    <row r="29" ht="33.75" customHeight="1">
      <c r="A29" s="24"/>
      <c r="B29" s="24"/>
      <c r="C29" s="24"/>
      <c r="D29" s="24"/>
      <c r="E29" s="44"/>
      <c r="F29" s="45" t="str">
        <f t="shared" si="2"/>
        <v/>
      </c>
      <c r="G29" s="24"/>
      <c r="H29" s="2"/>
      <c r="I29" s="2"/>
      <c r="J29" s="2"/>
      <c r="K29" s="2"/>
      <c r="L29" s="2"/>
      <c r="M29" s="2"/>
      <c r="N29" s="2"/>
      <c r="O29" s="2"/>
      <c r="P29" s="2"/>
      <c r="Q29" s="2"/>
      <c r="R29" s="2"/>
      <c r="S29" s="2"/>
      <c r="T29" s="2"/>
      <c r="U29" s="2"/>
      <c r="V29" s="2"/>
      <c r="W29" s="2"/>
      <c r="X29" s="2"/>
      <c r="Y29" s="2"/>
      <c r="Z29" s="2"/>
    </row>
    <row r="30" ht="33.75" customHeight="1">
      <c r="A30" s="22"/>
      <c r="B30" s="22"/>
      <c r="C30" s="22"/>
      <c r="D30" s="22"/>
      <c r="E30" s="46"/>
      <c r="F30" s="45" t="str">
        <f t="shared" si="2"/>
        <v/>
      </c>
      <c r="G30" s="22"/>
      <c r="H30" s="2"/>
      <c r="I30" s="2"/>
      <c r="J30" s="2"/>
      <c r="K30" s="2"/>
      <c r="L30" s="2"/>
      <c r="M30" s="2"/>
      <c r="N30" s="2"/>
      <c r="O30" s="2"/>
      <c r="P30" s="2"/>
      <c r="Q30" s="2"/>
      <c r="R30" s="2"/>
      <c r="S30" s="2"/>
      <c r="T30" s="2"/>
      <c r="U30" s="2"/>
      <c r="V30" s="2"/>
      <c r="W30" s="2"/>
      <c r="X30" s="2"/>
      <c r="Y30" s="2"/>
      <c r="Z30" s="2"/>
    </row>
    <row r="31" ht="33.75" customHeight="1">
      <c r="A31" s="24"/>
      <c r="B31" s="24"/>
      <c r="C31" s="24"/>
      <c r="D31" s="24"/>
      <c r="E31" s="44"/>
      <c r="F31" s="45" t="str">
        <f t="shared" si="2"/>
        <v/>
      </c>
      <c r="G31" s="24"/>
      <c r="H31" s="2"/>
      <c r="I31" s="2"/>
      <c r="J31" s="2"/>
      <c r="K31" s="2"/>
      <c r="L31" s="2"/>
      <c r="M31" s="2"/>
      <c r="N31" s="2"/>
      <c r="O31" s="2"/>
      <c r="P31" s="2"/>
      <c r="Q31" s="2"/>
      <c r="R31" s="2"/>
      <c r="S31" s="2"/>
      <c r="T31" s="2"/>
      <c r="U31" s="2"/>
      <c r="V31" s="2"/>
      <c r="W31" s="2"/>
      <c r="X31" s="2"/>
      <c r="Y31" s="2"/>
      <c r="Z31" s="2"/>
    </row>
    <row r="32" ht="33.75" customHeight="1">
      <c r="A32" s="22"/>
      <c r="B32" s="22"/>
      <c r="C32" s="22"/>
      <c r="D32" s="22"/>
      <c r="E32" s="46"/>
      <c r="F32" s="45" t="str">
        <f t="shared" si="2"/>
        <v/>
      </c>
      <c r="G32" s="22"/>
      <c r="H32" s="2"/>
      <c r="I32" s="2"/>
      <c r="J32" s="2"/>
      <c r="K32" s="2"/>
      <c r="L32" s="2"/>
      <c r="M32" s="2"/>
      <c r="N32" s="2"/>
      <c r="O32" s="2"/>
      <c r="P32" s="2"/>
      <c r="Q32" s="2"/>
      <c r="R32" s="2"/>
      <c r="S32" s="2"/>
      <c r="T32" s="2"/>
      <c r="U32" s="2"/>
      <c r="V32" s="2"/>
      <c r="W32" s="2"/>
      <c r="X32" s="2"/>
      <c r="Y32" s="2"/>
      <c r="Z32" s="2"/>
    </row>
    <row r="33" ht="33.75" customHeight="1">
      <c r="A33" s="24"/>
      <c r="B33" s="24"/>
      <c r="C33" s="24"/>
      <c r="D33" s="24"/>
      <c r="E33" s="44"/>
      <c r="F33" s="45" t="str">
        <f t="shared" si="2"/>
        <v/>
      </c>
      <c r="G33" s="24"/>
      <c r="H33" s="2"/>
      <c r="I33" s="2"/>
      <c r="J33" s="2"/>
      <c r="K33" s="2"/>
      <c r="L33" s="2"/>
      <c r="M33" s="2"/>
      <c r="N33" s="2"/>
      <c r="O33" s="2"/>
      <c r="P33" s="2"/>
      <c r="Q33" s="2"/>
      <c r="R33" s="2"/>
      <c r="S33" s="2"/>
      <c r="T33" s="2"/>
      <c r="U33" s="2"/>
      <c r="V33" s="2"/>
      <c r="W33" s="2"/>
      <c r="X33" s="2"/>
      <c r="Y33" s="2"/>
      <c r="Z33" s="2"/>
    </row>
    <row r="34" ht="33.75" customHeight="1">
      <c r="A34" s="22"/>
      <c r="B34" s="22"/>
      <c r="C34" s="22"/>
      <c r="D34" s="22"/>
      <c r="E34" s="46"/>
      <c r="F34" s="45" t="str">
        <f t="shared" si="2"/>
        <v/>
      </c>
      <c r="G34" s="22"/>
      <c r="H34" s="2"/>
      <c r="I34" s="2"/>
      <c r="J34" s="2"/>
      <c r="K34" s="2"/>
      <c r="L34" s="2"/>
      <c r="M34" s="2"/>
      <c r="N34" s="2"/>
      <c r="O34" s="2"/>
      <c r="P34" s="2"/>
      <c r="Q34" s="2"/>
      <c r="R34" s="2"/>
      <c r="S34" s="2"/>
      <c r="T34" s="2"/>
      <c r="U34" s="2"/>
      <c r="V34" s="2"/>
      <c r="W34" s="2"/>
      <c r="X34" s="2"/>
      <c r="Y34" s="2"/>
      <c r="Z34" s="2"/>
    </row>
    <row r="35" ht="33.75" customHeight="1">
      <c r="A35" s="24"/>
      <c r="B35" s="24"/>
      <c r="C35" s="24"/>
      <c r="D35" s="24"/>
      <c r="E35" s="44"/>
      <c r="F35" s="45" t="str">
        <f t="shared" si="2"/>
        <v/>
      </c>
      <c r="G35" s="24"/>
      <c r="H35" s="2"/>
      <c r="I35" s="2"/>
      <c r="J35" s="2"/>
      <c r="K35" s="2"/>
      <c r="L35" s="2"/>
      <c r="M35" s="2"/>
      <c r="N35" s="2"/>
      <c r="O35" s="2"/>
      <c r="P35" s="2"/>
      <c r="Q35" s="2"/>
      <c r="R35" s="2"/>
      <c r="S35" s="2"/>
      <c r="T35" s="2"/>
      <c r="U35" s="2"/>
      <c r="V35" s="2"/>
      <c r="W35" s="2"/>
      <c r="X35" s="2"/>
      <c r="Y35" s="2"/>
      <c r="Z35" s="2"/>
    </row>
    <row r="36" ht="33.75" customHeight="1">
      <c r="A36" s="22"/>
      <c r="B36" s="22"/>
      <c r="C36" s="22"/>
      <c r="D36" s="22"/>
      <c r="E36" s="46"/>
      <c r="F36" s="45" t="str">
        <f t="shared" si="2"/>
        <v/>
      </c>
      <c r="G36" s="22"/>
      <c r="H36" s="2"/>
      <c r="I36" s="2"/>
      <c r="J36" s="2"/>
      <c r="K36" s="2"/>
      <c r="L36" s="2"/>
      <c r="M36" s="2"/>
      <c r="N36" s="2"/>
      <c r="O36" s="2"/>
      <c r="P36" s="2"/>
      <c r="Q36" s="2"/>
      <c r="R36" s="2"/>
      <c r="S36" s="2"/>
      <c r="T36" s="2"/>
      <c r="U36" s="2"/>
      <c r="V36" s="2"/>
      <c r="W36" s="2"/>
      <c r="X36" s="2"/>
      <c r="Y36" s="2"/>
      <c r="Z36" s="2"/>
    </row>
    <row r="37" ht="33.75" customHeight="1">
      <c r="A37" s="24"/>
      <c r="B37" s="24"/>
      <c r="C37" s="24"/>
      <c r="D37" s="24"/>
      <c r="E37" s="44"/>
      <c r="F37" s="45" t="str">
        <f t="shared" si="2"/>
        <v/>
      </c>
      <c r="G37" s="24"/>
      <c r="H37" s="2"/>
      <c r="I37" s="2"/>
      <c r="J37" s="2"/>
      <c r="K37" s="2"/>
      <c r="L37" s="2"/>
      <c r="M37" s="2"/>
      <c r="N37" s="2"/>
      <c r="O37" s="2"/>
      <c r="P37" s="2"/>
      <c r="Q37" s="2"/>
      <c r="R37" s="2"/>
      <c r="S37" s="2"/>
      <c r="T37" s="2"/>
      <c r="U37" s="2"/>
      <c r="V37" s="2"/>
      <c r="W37" s="2"/>
      <c r="X37" s="2"/>
      <c r="Y37" s="2"/>
      <c r="Z37" s="2"/>
    </row>
    <row r="38" ht="33.75" customHeight="1">
      <c r="A38" s="22"/>
      <c r="B38" s="22"/>
      <c r="C38" s="22"/>
      <c r="D38" s="22"/>
      <c r="E38" s="46"/>
      <c r="F38" s="45" t="str">
        <f t="shared" si="2"/>
        <v/>
      </c>
      <c r="G38" s="2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14" t="s">
        <v>433</v>
      </c>
      <c r="F40" s="47">
        <f>SUM(F5:F38)</f>
        <v>4320000</v>
      </c>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14" t="s">
        <v>434</v>
      </c>
      <c r="F41" s="48">
        <f>SUMIF($A$5:$A$38,"Humanos",$C$5:$C$38)</f>
        <v>203</v>
      </c>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14" t="s">
        <v>435</v>
      </c>
      <c r="F42" s="48" t="str">
        <f>IF(Iteraciones!$B$21="","Falta el presupuesto efectivo",IF(F41=Iteraciones!$B$21,"Coherente",IF(F41&gt;Iteraciones!$B$21,"Excede el presupuesto","No agota el presupuesto: revisar")))</f>
        <v>No agota el presupuesto: revisar</v>
      </c>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2">
    <mergeCell ref="A1:G1"/>
    <mergeCell ref="A2:G2"/>
  </mergeCells>
  <dataValidations>
    <dataValidation type="list" allowBlank="1" showInputMessage="1" showErrorMessage="1" prompt="Valor no admitido - Clases admitidas: Humanos, Físicos y materiales, Financieros, Tecnológicos u Otros." sqref="A5:A38">
      <formula1>"Humanos,Físicos y materiales,Financieros,Tecnológicos,Otros"</formula1>
    </dataValidation>
  </dataValidations>
  <hyperlinks>
    <hyperlink r:id="rId2" ref="G5"/>
    <hyperlink r:id="rId3" ref="G9"/>
  </hyperlinks>
  <printOptions/>
  <pageMargins bottom="1.0" footer="0.0" header="0.0" left="0.75" right="0.75" top="1.0"/>
  <pageSetup paperSize="9" orientation="portrait"/>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8.0"/>
    <col customWidth="1" min="2" max="2" width="16.0"/>
    <col customWidth="1" min="3" max="3" width="73.86"/>
    <col customWidth="1" min="4" max="6" width="8.71"/>
  </cols>
  <sheetData>
    <row r="1" ht="19.5" customHeight="1">
      <c r="A1" s="1" t="s">
        <v>436</v>
      </c>
      <c r="H1" s="2"/>
      <c r="I1" s="2"/>
      <c r="J1" s="2"/>
      <c r="K1" s="2"/>
      <c r="L1" s="2"/>
      <c r="M1" s="2"/>
      <c r="N1" s="2"/>
      <c r="O1" s="2"/>
      <c r="P1" s="2"/>
      <c r="Q1" s="2"/>
      <c r="R1" s="2"/>
      <c r="S1" s="2"/>
      <c r="T1" s="2"/>
      <c r="U1" s="2"/>
      <c r="V1" s="2"/>
      <c r="W1" s="2"/>
      <c r="X1" s="2"/>
      <c r="Y1" s="2"/>
      <c r="Z1" s="2"/>
    </row>
    <row r="2" ht="18.75" customHeight="1">
      <c r="A2" s="4" t="s">
        <v>437</v>
      </c>
      <c r="H2" s="2"/>
      <c r="I2" s="2"/>
      <c r="J2" s="2"/>
      <c r="K2" s="2"/>
      <c r="L2" s="2"/>
      <c r="M2" s="2"/>
      <c r="N2" s="2"/>
      <c r="O2" s="2"/>
      <c r="P2" s="2"/>
      <c r="Q2" s="2"/>
      <c r="R2" s="2"/>
      <c r="S2" s="2"/>
      <c r="T2" s="2"/>
      <c r="U2" s="2"/>
      <c r="V2" s="2"/>
      <c r="W2" s="2"/>
      <c r="X2" s="2"/>
      <c r="Y2" s="2"/>
      <c r="Z2" s="2"/>
    </row>
    <row r="3" ht="9.75" customHeight="1">
      <c r="A3" s="2"/>
      <c r="B3" s="2"/>
      <c r="C3" s="2"/>
      <c r="D3" s="2"/>
      <c r="E3" s="2"/>
      <c r="F3" s="2"/>
      <c r="G3" s="2"/>
      <c r="H3" s="2"/>
      <c r="I3" s="2"/>
      <c r="J3" s="2"/>
      <c r="K3" s="2"/>
      <c r="L3" s="2"/>
      <c r="M3" s="2"/>
      <c r="N3" s="2"/>
      <c r="O3" s="2"/>
      <c r="P3" s="2"/>
      <c r="Q3" s="2"/>
      <c r="R3" s="2"/>
      <c r="S3" s="2"/>
      <c r="T3" s="2"/>
      <c r="U3" s="2"/>
      <c r="V3" s="2"/>
      <c r="W3" s="2"/>
      <c r="X3" s="2"/>
      <c r="Y3" s="2"/>
      <c r="Z3" s="2"/>
    </row>
    <row r="4" ht="30.0" customHeight="1">
      <c r="A4" s="6" t="s">
        <v>438</v>
      </c>
      <c r="B4" s="6" t="s">
        <v>439</v>
      </c>
      <c r="C4" s="6" t="s">
        <v>440</v>
      </c>
      <c r="D4" s="2"/>
      <c r="E4" s="2"/>
      <c r="F4" s="2"/>
      <c r="G4" s="2"/>
      <c r="H4" s="2"/>
      <c r="I4" s="2"/>
      <c r="J4" s="2"/>
      <c r="K4" s="2"/>
      <c r="L4" s="2"/>
      <c r="M4" s="2"/>
      <c r="N4" s="2"/>
      <c r="O4" s="2"/>
      <c r="P4" s="2"/>
      <c r="Q4" s="2"/>
      <c r="R4" s="2"/>
      <c r="S4" s="2"/>
      <c r="T4" s="2"/>
      <c r="U4" s="2"/>
      <c r="V4" s="2"/>
      <c r="W4" s="2"/>
      <c r="X4" s="2"/>
      <c r="Y4" s="2"/>
      <c r="Z4" s="2"/>
    </row>
    <row r="5" ht="30.0" customHeight="1">
      <c r="A5" s="49" t="s">
        <v>441</v>
      </c>
      <c r="B5" s="50">
        <f>COUNTIF('Catálogo'!$A$5:$A$201,"?*")</f>
        <v>17</v>
      </c>
      <c r="C5" s="51" t="s">
        <v>442</v>
      </c>
      <c r="D5" s="2"/>
      <c r="E5" s="2"/>
      <c r="F5" s="2"/>
      <c r="G5" s="2"/>
      <c r="H5" s="2"/>
      <c r="I5" s="2"/>
      <c r="J5" s="2"/>
      <c r="K5" s="2"/>
      <c r="L5" s="2"/>
      <c r="M5" s="2"/>
      <c r="N5" s="2"/>
      <c r="O5" s="2"/>
      <c r="P5" s="2"/>
      <c r="Q5" s="2"/>
      <c r="R5" s="2"/>
      <c r="S5" s="2"/>
      <c r="T5" s="2"/>
      <c r="U5" s="2"/>
      <c r="V5" s="2"/>
      <c r="W5" s="2"/>
      <c r="X5" s="2"/>
      <c r="Y5" s="2"/>
      <c r="Z5" s="2"/>
    </row>
    <row r="6" ht="30.0" customHeight="1">
      <c r="A6" s="49" t="s">
        <v>443</v>
      </c>
      <c r="B6" s="50">
        <f>COUNTIFS('Catálogo'!$A$5:$A$201,"?*",'Catálogo'!$G$5:$G$201,"?*")</f>
        <v>17</v>
      </c>
      <c r="C6" s="51" t="s">
        <v>444</v>
      </c>
      <c r="D6" s="2"/>
      <c r="E6" s="2"/>
      <c r="F6" s="2"/>
      <c r="G6" s="2"/>
      <c r="H6" s="2"/>
      <c r="I6" s="2"/>
      <c r="J6" s="2"/>
      <c r="K6" s="2"/>
      <c r="L6" s="2"/>
      <c r="M6" s="2"/>
      <c r="N6" s="2"/>
      <c r="O6" s="2"/>
      <c r="P6" s="2"/>
      <c r="Q6" s="2"/>
      <c r="R6" s="2"/>
      <c r="S6" s="2"/>
      <c r="T6" s="2"/>
      <c r="U6" s="2"/>
      <c r="V6" s="2"/>
      <c r="W6" s="2"/>
      <c r="X6" s="2"/>
      <c r="Y6" s="2"/>
      <c r="Z6" s="2"/>
    </row>
    <row r="7" ht="30.0" customHeight="1">
      <c r="A7" s="49" t="s">
        <v>445</v>
      </c>
      <c r="B7" s="50">
        <f>COUNTIFS('Catálogo'!$A$5:$A$201,"?*",'Catálogo'!$H$5:$H$201,"?*")</f>
        <v>17</v>
      </c>
      <c r="C7" s="51" t="s">
        <v>446</v>
      </c>
      <c r="D7" s="2"/>
      <c r="E7" s="2"/>
      <c r="F7" s="2"/>
      <c r="G7" s="2"/>
      <c r="H7" s="2"/>
      <c r="I7" s="2"/>
      <c r="J7" s="2"/>
      <c r="K7" s="2"/>
      <c r="L7" s="2"/>
      <c r="M7" s="2"/>
      <c r="N7" s="2"/>
      <c r="O7" s="2"/>
      <c r="P7" s="2"/>
      <c r="Q7" s="2"/>
      <c r="R7" s="2"/>
      <c r="S7" s="2"/>
      <c r="T7" s="2"/>
      <c r="U7" s="2"/>
      <c r="V7" s="2"/>
      <c r="W7" s="2"/>
      <c r="X7" s="2"/>
      <c r="Y7" s="2"/>
      <c r="Z7" s="2"/>
    </row>
    <row r="8" ht="30.0" customHeight="1">
      <c r="A8" s="49" t="s">
        <v>447</v>
      </c>
      <c r="B8" s="50">
        <f>COUNTIFS('Catálogo'!$A$5:$A$201,"?*",'Catálogo'!$C$5:$C$201,"No funcional")</f>
        <v>5</v>
      </c>
      <c r="C8" s="51" t="s">
        <v>448</v>
      </c>
      <c r="D8" s="2"/>
      <c r="E8" s="2"/>
      <c r="F8" s="2"/>
      <c r="G8" s="2"/>
      <c r="H8" s="2"/>
      <c r="I8" s="2"/>
      <c r="J8" s="2"/>
      <c r="K8" s="2"/>
      <c r="L8" s="2"/>
      <c r="M8" s="2"/>
      <c r="N8" s="2"/>
      <c r="O8" s="2"/>
      <c r="P8" s="2"/>
      <c r="Q8" s="2"/>
      <c r="R8" s="2"/>
      <c r="S8" s="2"/>
      <c r="T8" s="2"/>
      <c r="U8" s="2"/>
      <c r="V8" s="2"/>
      <c r="W8" s="2"/>
      <c r="X8" s="2"/>
      <c r="Y8" s="2"/>
      <c r="Z8" s="2"/>
    </row>
    <row r="9" ht="30.0" customHeight="1">
      <c r="A9" s="49" t="s">
        <v>449</v>
      </c>
      <c r="B9" s="50">
        <f>COUNTIFS('Catálogo'!$C$5:$C$201,"No funcional",'Catálogo'!$D$5:$D$201,"")</f>
        <v>0</v>
      </c>
      <c r="C9" s="51" t="s">
        <v>450</v>
      </c>
      <c r="D9" s="2"/>
      <c r="E9" s="2"/>
      <c r="F9" s="2"/>
      <c r="G9" s="2"/>
      <c r="H9" s="2"/>
      <c r="I9" s="2"/>
      <c r="J9" s="2"/>
      <c r="K9" s="2"/>
      <c r="L9" s="2"/>
      <c r="M9" s="2"/>
      <c r="N9" s="2"/>
      <c r="O9" s="2"/>
      <c r="P9" s="2"/>
      <c r="Q9" s="2"/>
      <c r="R9" s="2"/>
      <c r="S9" s="2"/>
      <c r="T9" s="2"/>
      <c r="U9" s="2"/>
      <c r="V9" s="2"/>
      <c r="W9" s="2"/>
      <c r="X9" s="2"/>
      <c r="Y9" s="2"/>
      <c r="Z9" s="2"/>
    </row>
    <row r="10" ht="30.0" customHeight="1">
      <c r="A10" s="49" t="s">
        <v>451</v>
      </c>
      <c r="B10" s="50">
        <f>COUNTIFS('Catálogo'!$A$5:$A$201,"?*",'Catálogo'!$E$5:$E$201,"Must")</f>
        <v>12</v>
      </c>
      <c r="C10" s="51" t="s">
        <v>452</v>
      </c>
      <c r="D10" s="2"/>
      <c r="E10" s="2"/>
      <c r="F10" s="2"/>
      <c r="G10" s="2"/>
      <c r="H10" s="2"/>
      <c r="I10" s="2"/>
      <c r="J10" s="2"/>
      <c r="K10" s="2"/>
      <c r="L10" s="2"/>
      <c r="M10" s="2"/>
      <c r="N10" s="2"/>
      <c r="O10" s="2"/>
      <c r="P10" s="2"/>
      <c r="Q10" s="2"/>
      <c r="R10" s="2"/>
      <c r="S10" s="2"/>
      <c r="T10" s="2"/>
      <c r="U10" s="2"/>
      <c r="V10" s="2"/>
      <c r="W10" s="2"/>
      <c r="X10" s="2"/>
      <c r="Y10" s="2"/>
      <c r="Z10" s="2"/>
    </row>
    <row r="11" ht="30.0" customHeight="1">
      <c r="A11" s="49" t="s">
        <v>453</v>
      </c>
      <c r="B11" s="50">
        <f>COUNTIFS('Catálogo'!$A$5:$A$201,"?*",'Catálogo'!$K$5:$K$201,"Sí")</f>
        <v>12</v>
      </c>
      <c r="C11" s="51" t="s">
        <v>454</v>
      </c>
      <c r="D11" s="2"/>
      <c r="E11" s="2"/>
      <c r="F11" s="2"/>
      <c r="G11" s="2"/>
      <c r="H11" s="2"/>
      <c r="I11" s="2"/>
      <c r="J11" s="2"/>
      <c r="K11" s="2"/>
      <c r="L11" s="2"/>
      <c r="M11" s="2"/>
      <c r="N11" s="2"/>
      <c r="O11" s="2"/>
      <c r="P11" s="2"/>
      <c r="Q11" s="2"/>
      <c r="R11" s="2"/>
      <c r="S11" s="2"/>
      <c r="T11" s="2"/>
      <c r="U11" s="2"/>
      <c r="V11" s="2"/>
      <c r="W11" s="2"/>
      <c r="X11" s="2"/>
      <c r="Y11" s="2"/>
      <c r="Z11" s="2"/>
    </row>
    <row r="12" ht="30.0" customHeight="1">
      <c r="A12" s="49" t="s">
        <v>455</v>
      </c>
      <c r="B12" s="50" t="str">
        <f>IF(COUNTIFS('Catálogo'!$A$5:$A$201,"?*",'Catálogo'!$E$5:$E$201,"Must")=COUNTIFS('Catálogo'!$A$5:$A$201,"?*",'Catálogo'!$K$5:$K$201,"Sí"),"Coherente","REVISAR")</f>
        <v>Coherente</v>
      </c>
      <c r="C12" s="51" t="s">
        <v>456</v>
      </c>
      <c r="D12" s="2"/>
      <c r="E12" s="2"/>
      <c r="F12" s="2"/>
      <c r="G12" s="2"/>
      <c r="H12" s="2"/>
      <c r="I12" s="2"/>
      <c r="J12" s="2"/>
      <c r="K12" s="2"/>
      <c r="L12" s="2"/>
      <c r="M12" s="2"/>
      <c r="N12" s="2"/>
      <c r="O12" s="2"/>
      <c r="P12" s="2"/>
      <c r="Q12" s="2"/>
      <c r="R12" s="2"/>
      <c r="S12" s="2"/>
      <c r="T12" s="2"/>
      <c r="U12" s="2"/>
      <c r="V12" s="2"/>
      <c r="W12" s="2"/>
      <c r="X12" s="2"/>
      <c r="Y12" s="2"/>
      <c r="Z12" s="2"/>
    </row>
    <row r="13" ht="30.0" customHeight="1">
      <c r="A13" s="49" t="s">
        <v>457</v>
      </c>
      <c r="B13" s="50">
        <f>COUNTIFS('Catálogo'!$A$5:$A$201,"?*",'Catálogo'!$I$5:$I$201,"Validado")</f>
        <v>16</v>
      </c>
      <c r="C13" s="51" t="s">
        <v>458</v>
      </c>
      <c r="D13" s="2"/>
      <c r="E13" s="2"/>
      <c r="F13" s="2"/>
      <c r="G13" s="2"/>
      <c r="H13" s="2"/>
      <c r="I13" s="2"/>
      <c r="J13" s="2"/>
      <c r="K13" s="2"/>
      <c r="L13" s="2"/>
      <c r="M13" s="2"/>
      <c r="N13" s="2"/>
      <c r="O13" s="2"/>
      <c r="P13" s="2"/>
      <c r="Q13" s="2"/>
      <c r="R13" s="2"/>
      <c r="S13" s="2"/>
      <c r="T13" s="2"/>
      <c r="U13" s="2"/>
      <c r="V13" s="2"/>
      <c r="W13" s="2"/>
      <c r="X13" s="2"/>
      <c r="Y13" s="2"/>
      <c r="Z13" s="2"/>
    </row>
    <row r="14" ht="30.0" customHeight="1">
      <c r="A14" s="49" t="s">
        <v>459</v>
      </c>
      <c r="B14" s="50">
        <f>COUNTIF('Catálogo'!$L$5:$L$201,"Faltan campos")+COUNTIF('Catálogo'!$L$5:$L$201,"Falta categoría")+COUNTIF('Catálogo'!$L$5:$L$201,"Falta definir si integra el MVP")</f>
        <v>0</v>
      </c>
      <c r="C14" s="51" t="s">
        <v>460</v>
      </c>
      <c r="D14" s="2"/>
      <c r="E14" s="2"/>
      <c r="F14" s="2"/>
      <c r="G14" s="2"/>
      <c r="H14" s="2"/>
      <c r="I14" s="2"/>
      <c r="J14" s="2"/>
      <c r="K14" s="2"/>
      <c r="L14" s="2"/>
      <c r="M14" s="2"/>
      <c r="N14" s="2"/>
      <c r="O14" s="2"/>
      <c r="P14" s="2"/>
      <c r="Q14" s="2"/>
      <c r="R14" s="2"/>
      <c r="S14" s="2"/>
      <c r="T14" s="2"/>
      <c r="U14" s="2"/>
      <c r="V14" s="2"/>
      <c r="W14" s="2"/>
      <c r="X14" s="2"/>
      <c r="Y14" s="2"/>
      <c r="Z14" s="2"/>
    </row>
    <row r="15" ht="30.0" customHeight="1">
      <c r="A15" s="49" t="s">
        <v>461</v>
      </c>
      <c r="B15" s="50">
        <f>COUNTIF(Trazabilidad!$A$5:$A$61,"?*")</f>
        <v>21</v>
      </c>
      <c r="C15" s="51" t="s">
        <v>462</v>
      </c>
      <c r="D15" s="2"/>
      <c r="E15" s="2"/>
      <c r="F15" s="2"/>
      <c r="G15" s="2"/>
      <c r="H15" s="2"/>
      <c r="I15" s="2"/>
      <c r="J15" s="2"/>
      <c r="K15" s="2"/>
      <c r="L15" s="2"/>
      <c r="M15" s="2"/>
      <c r="N15" s="2"/>
      <c r="O15" s="2"/>
      <c r="P15" s="2"/>
      <c r="Q15" s="2"/>
      <c r="R15" s="2"/>
      <c r="S15" s="2"/>
      <c r="T15" s="2"/>
      <c r="U15" s="2"/>
      <c r="V15" s="2"/>
      <c r="W15" s="2"/>
      <c r="X15" s="2"/>
      <c r="Y15" s="2"/>
      <c r="Z15" s="2"/>
    </row>
    <row r="16" ht="30.0" customHeight="1">
      <c r="A16" s="49" t="s">
        <v>463</v>
      </c>
      <c r="B16" s="50">
        <f>COUNTIF(Trazabilidad!$F$5:$F$61,"Hallazgo sin destino")</f>
        <v>0</v>
      </c>
      <c r="C16" s="51" t="s">
        <v>464</v>
      </c>
      <c r="D16" s="2"/>
      <c r="E16" s="2"/>
      <c r="F16" s="2"/>
      <c r="G16" s="2"/>
      <c r="H16" s="2"/>
      <c r="I16" s="2"/>
      <c r="J16" s="2"/>
      <c r="K16" s="2"/>
      <c r="L16" s="2"/>
      <c r="M16" s="2"/>
      <c r="N16" s="2"/>
      <c r="O16" s="2"/>
      <c r="P16" s="2"/>
      <c r="Q16" s="2"/>
      <c r="R16" s="2"/>
      <c r="S16" s="2"/>
      <c r="T16" s="2"/>
      <c r="U16" s="2"/>
      <c r="V16" s="2"/>
      <c r="W16" s="2"/>
      <c r="X16" s="2"/>
      <c r="Y16" s="2"/>
      <c r="Z16" s="2"/>
    </row>
    <row r="17" ht="30.0" customHeight="1">
      <c r="A17" s="49" t="s">
        <v>465</v>
      </c>
      <c r="B17" s="50">
        <f>COUNTIF(Entidades!$E$5:$E$15,"Entidad")</f>
        <v>6</v>
      </c>
      <c r="C17" s="51" t="s">
        <v>466</v>
      </c>
      <c r="D17" s="2"/>
      <c r="E17" s="2"/>
      <c r="F17" s="2"/>
      <c r="G17" s="2"/>
      <c r="H17" s="2"/>
      <c r="I17" s="2"/>
      <c r="J17" s="2"/>
      <c r="K17" s="2"/>
      <c r="L17" s="2"/>
      <c r="M17" s="2"/>
      <c r="N17" s="2"/>
      <c r="O17" s="2"/>
      <c r="P17" s="2"/>
      <c r="Q17" s="2"/>
      <c r="R17" s="2"/>
      <c r="S17" s="2"/>
      <c r="T17" s="2"/>
      <c r="U17" s="2"/>
      <c r="V17" s="2"/>
      <c r="W17" s="2"/>
      <c r="X17" s="2"/>
      <c r="Y17" s="2"/>
      <c r="Z17" s="2"/>
    </row>
    <row r="18" ht="30.0" customHeight="1">
      <c r="A18" s="49" t="s">
        <v>467</v>
      </c>
      <c r="B18" s="50">
        <f>COUNTIF(Entidades!$A$5:$A$15,"?*")-COUNTIF(Entidades!$E$5:$E$15,"Entidad")</f>
        <v>5</v>
      </c>
      <c r="C18" s="51" t="s">
        <v>468</v>
      </c>
      <c r="D18" s="2"/>
      <c r="E18" s="2"/>
      <c r="F18" s="2"/>
      <c r="G18" s="2"/>
      <c r="H18" s="2"/>
      <c r="I18" s="2"/>
      <c r="J18" s="2"/>
      <c r="K18" s="2"/>
      <c r="L18" s="2"/>
      <c r="M18" s="2"/>
      <c r="N18" s="2"/>
      <c r="O18" s="2"/>
      <c r="P18" s="2"/>
      <c r="Q18" s="2"/>
      <c r="R18" s="2"/>
      <c r="S18" s="2"/>
      <c r="T18" s="2"/>
      <c r="U18" s="2"/>
      <c r="V18" s="2"/>
      <c r="W18" s="2"/>
      <c r="X18" s="2"/>
      <c r="Y18" s="2"/>
      <c r="Z18" s="2"/>
    </row>
    <row r="19" ht="30.0" customHeight="1">
      <c r="A19" s="49" t="s">
        <v>469</v>
      </c>
      <c r="B19" s="50">
        <f>COUNTIF(Reglas!$C$5:$C$40,"?*")</f>
        <v>8</v>
      </c>
      <c r="C19" s="51" t="s">
        <v>470</v>
      </c>
      <c r="D19" s="2"/>
      <c r="E19" s="2"/>
      <c r="F19" s="2"/>
      <c r="G19" s="2"/>
      <c r="H19" s="2"/>
      <c r="I19" s="2"/>
      <c r="J19" s="2"/>
      <c r="K19" s="2"/>
      <c r="L19" s="2"/>
      <c r="M19" s="2"/>
      <c r="N19" s="2"/>
      <c r="O19" s="2"/>
      <c r="P19" s="2"/>
      <c r="Q19" s="2"/>
      <c r="R19" s="2"/>
      <c r="S19" s="2"/>
      <c r="T19" s="2"/>
      <c r="U19" s="2"/>
      <c r="V19" s="2"/>
      <c r="W19" s="2"/>
      <c r="X19" s="2"/>
      <c r="Y19" s="2"/>
      <c r="Z19" s="2"/>
    </row>
    <row r="20" ht="30.0" customHeight="1">
      <c r="A20" s="49" t="s">
        <v>471</v>
      </c>
      <c r="B20" s="50">
        <f>COUNTIF(Reglas!$E$5:$E$40,"Pendiente")+COUNTIF(Reglas!$E$5:$E$40,"En disputa")</f>
        <v>1</v>
      </c>
      <c r="C20" s="51" t="s">
        <v>472</v>
      </c>
      <c r="D20" s="2"/>
      <c r="E20" s="2"/>
      <c r="F20" s="2"/>
      <c r="G20" s="2"/>
      <c r="H20" s="2"/>
      <c r="I20" s="2"/>
      <c r="J20" s="2"/>
      <c r="K20" s="2"/>
      <c r="L20" s="2"/>
      <c r="M20" s="2"/>
      <c r="N20" s="2"/>
      <c r="O20" s="2"/>
      <c r="P20" s="2"/>
      <c r="Q20" s="2"/>
      <c r="R20" s="2"/>
      <c r="S20" s="2"/>
      <c r="T20" s="2"/>
      <c r="U20" s="2"/>
      <c r="V20" s="2"/>
      <c r="W20" s="2"/>
      <c r="X20" s="2"/>
      <c r="Y20" s="2"/>
      <c r="Z20" s="2"/>
    </row>
    <row r="21" ht="30.0" customHeight="1">
      <c r="A21" s="49" t="s">
        <v>473</v>
      </c>
      <c r="B21" s="50">
        <f>COUNTIF(Glosario!$E$5:$E$45,"Sí")</f>
        <v>1</v>
      </c>
      <c r="C21" s="51" t="s">
        <v>474</v>
      </c>
      <c r="D21" s="2"/>
      <c r="E21" s="2"/>
      <c r="F21" s="2"/>
      <c r="G21" s="2"/>
      <c r="H21" s="2"/>
      <c r="I21" s="2"/>
      <c r="J21" s="2"/>
      <c r="K21" s="2"/>
      <c r="L21" s="2"/>
      <c r="M21" s="2"/>
      <c r="N21" s="2"/>
      <c r="O21" s="2"/>
      <c r="P21" s="2"/>
      <c r="Q21" s="2"/>
      <c r="R21" s="2"/>
      <c r="S21" s="2"/>
      <c r="T21" s="2"/>
      <c r="U21" s="2"/>
      <c r="V21" s="2"/>
      <c r="W21" s="2"/>
      <c r="X21" s="2"/>
      <c r="Y21" s="2"/>
      <c r="Z21" s="2"/>
    </row>
    <row r="22" ht="30.0" customHeight="1">
      <c r="A22" s="49" t="s">
        <v>475</v>
      </c>
      <c r="B22" s="50">
        <f>SUM(Iteraciones!$G$5:$G$12)</f>
        <v>200</v>
      </c>
      <c r="C22" s="51" t="s">
        <v>476</v>
      </c>
      <c r="D22" s="2"/>
      <c r="E22" s="2"/>
      <c r="F22" s="2"/>
      <c r="G22" s="2"/>
      <c r="H22" s="2"/>
      <c r="I22" s="2"/>
      <c r="J22" s="2"/>
      <c r="K22" s="2"/>
      <c r="L22" s="2"/>
      <c r="M22" s="2"/>
      <c r="N22" s="2"/>
      <c r="O22" s="2"/>
      <c r="P22" s="2"/>
      <c r="Q22" s="2"/>
      <c r="R22" s="2"/>
      <c r="S22" s="2"/>
      <c r="T22" s="2"/>
      <c r="U22" s="2"/>
      <c r="V22" s="2"/>
      <c r="W22" s="2"/>
      <c r="X22" s="2"/>
      <c r="Y22" s="2"/>
      <c r="Z22" s="2"/>
    </row>
    <row r="23" ht="30.0" customHeight="1">
      <c r="A23" s="49" t="s">
        <v>477</v>
      </c>
      <c r="B23" s="50" t="str">
        <f>Recursos!$F$42</f>
        <v>No agota el presupuesto: revisar</v>
      </c>
      <c r="C23" s="51" t="s">
        <v>478</v>
      </c>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9" t="s">
        <v>479</v>
      </c>
      <c r="B25" s="2"/>
      <c r="C25" s="2"/>
      <c r="D25" s="2"/>
      <c r="E25" s="2"/>
      <c r="F25" s="2"/>
      <c r="G25" s="2"/>
      <c r="H25" s="2"/>
      <c r="I25" s="2"/>
      <c r="J25" s="2"/>
      <c r="K25" s="2"/>
      <c r="L25" s="2"/>
      <c r="M25" s="2"/>
      <c r="N25" s="2"/>
      <c r="O25" s="2"/>
      <c r="P25" s="2"/>
      <c r="Q25" s="2"/>
      <c r="R25" s="2"/>
      <c r="S25" s="2"/>
      <c r="T25" s="2"/>
      <c r="U25" s="2"/>
      <c r="V25" s="2"/>
      <c r="W25" s="2"/>
      <c r="X25" s="2"/>
      <c r="Y25" s="2"/>
      <c r="Z25" s="2"/>
    </row>
    <row r="26" ht="15.0" customHeight="1">
      <c r="A26" s="52" t="s">
        <v>480</v>
      </c>
      <c r="B26" s="53"/>
      <c r="C26" s="54"/>
      <c r="D26" s="2"/>
      <c r="E26" s="2"/>
      <c r="F26" s="2"/>
      <c r="G26" s="2"/>
      <c r="H26" s="2"/>
      <c r="I26" s="2"/>
      <c r="J26" s="2"/>
      <c r="K26" s="2"/>
      <c r="L26" s="2"/>
      <c r="M26" s="2"/>
      <c r="N26" s="2"/>
      <c r="O26" s="2"/>
      <c r="P26" s="2"/>
      <c r="Q26" s="2"/>
      <c r="R26" s="2"/>
      <c r="S26" s="2"/>
      <c r="T26" s="2"/>
      <c r="U26" s="2"/>
      <c r="V26" s="2"/>
      <c r="W26" s="2"/>
      <c r="X26" s="2"/>
      <c r="Y26" s="2"/>
      <c r="Z26" s="2"/>
    </row>
    <row r="27" ht="15.75" customHeight="1">
      <c r="A27" s="55"/>
      <c r="B27" s="56"/>
      <c r="C27" s="57"/>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G1"/>
    <mergeCell ref="A2:G2"/>
    <mergeCell ref="A26:C27"/>
  </mergeCells>
  <printOptions/>
  <pageMargins bottom="1.0" footer="0.0" header="0.0" left="0.75" right="0.75" top="1.0"/>
  <pageSetup paperSize="9" orientation="portrait"/>
  <drawing r:id="rId1"/>
</worksheet>
</file>