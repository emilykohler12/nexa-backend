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5"/>
    <sheet state="visible" name="Catálogo" sheetId="2" r:id="rId6"/>
    <sheet state="visible" name="Trazabilidad" sheetId="3" r:id="rId7"/>
    <sheet state="visible" name="Entidades" sheetId="4" r:id="rId8"/>
    <sheet state="visible" name="Reglas" sheetId="5" r:id="rId9"/>
    <sheet state="visible" name="Límites" sheetId="6" r:id="rId10"/>
    <sheet state="visible" name="Glosario" sheetId="7" r:id="rId11"/>
    <sheet state="visible" name="Reuniones y datos" sheetId="8" r:id="rId12"/>
    <sheet state="visible" name="Iteraciones" sheetId="9" r:id="rId13"/>
    <sheet state="visible" name="Recursos" sheetId="10" r:id="rId14"/>
    <sheet state="visible" name="Panel" sheetId="11" r:id="rId15"/>
    <sheet state="visible" name="Código y pruebas" sheetId="12" r:id="rId16"/>
    <sheet state="visible" name="Funciones de apoyo y deuda" sheetId="13" r:id="rId17"/>
    <sheet state="visible" name="Cambios v7"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El conjunto de los requisitos «Must» debe coincidir exactamente con el producto mínimo viable descrito en el apartado V.5.</t>
      </text>
    </comment>
    <comment authorId="0" ref="G4">
      <text>
        <t xml:space="preserve">Condición inicial, acción y resultado observable con valores. Un adjetivo no es un criterio de aceptación.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Semana 6 (actual, 22/09/2026) a Semana 14 (versión congelada), ambas inclusive: 9 semanas. Es el horizonte de planificación de las iteraciones definidas en esta hoja, no la duración total de la materia desde el inicio de clases.</t>
      </text>
    </comment>
    <comment authorId="0" ref="B17">
      <text>
        <t xml:space="preserve">Estimación declarada por la autora («puedo dedicarle bastantes horas»), sin una cifra de horas/semana ya fijada por ella al momento de redactar este libro. Ajustar este número si la dedicación real difiere — el resto de la hoja (presupuesto, margen, y la fila «Humanos» de Recursos) se recalcula solo.</t>
      </text>
    </comment>
    <comment authorId="0" ref="B27">
      <text>
        <t xml:space="preserve">No se tuvo a la vista un «acta de constitución» del proyecto con un criterio de redistribución ya definido; este criterio se redactó por coherencia directa con la priorización MoSCoW del Catálogo. Reemplazar por el criterio real del acta si existe uno.</t>
      </text>
    </comment>
    <comment authorId="0" ref="B5">
      <text>
        <t xml:space="preserve">Las fechas se expresan como número de semana del cuatrimestre (Semana 1 = 13/08/2026, inicio de clases de la Comisión A) y no como fechas de calendario, porque al 22/09/2026 (Semana 6) todavía no hay una fecha de cierre de cuatrimestre confirmada más allá de la cadencia v1/v2/v3/congelada. Semana 8 coincide con la entrega de esta AE2 (01/10/2026).</t>
      </text>
    </comment>
    <comment authorId="0" ref="B20">
      <text>
        <t xml:space="preserve">Estimación propia: no se contó con el calendario de parciales de la autora ni con feriados dentro de la ventana Semana 6-14. Se reserva un margen de 15 horas por posibles solapamientos con evaluaciones de otras materias. Ajustar si se cuenta con información más precisa.</t>
      </text>
    </comment>
  </commentList>
</comments>
</file>

<file path=xl/sharedStrings.xml><?xml version="1.0" encoding="utf-8"?>
<sst xmlns="http://schemas.openxmlformats.org/spreadsheetml/2006/main" count="2016" uniqueCount="1294">
  <si>
    <t>Catálogo de requisitos · apartado III.5 del informe</t>
  </si>
  <si>
    <t>Libro de trabajo de la AE2 y la AE4 · Proyecto Final de Grado 2026 · versión v7 (30/10/2026)</t>
  </si>
  <si>
    <t>Matriz de trazabilidad · hallazgo de la AE1 → requisito</t>
  </si>
  <si>
    <t>Lista filtrada de entidades del dominio · Instrumento 28</t>
  </si>
  <si>
    <t>Se verifica en doble vía. Todo requisito llega a un hallazgo; todo hallazgo llega a un requisito o a una justificación expresa de por qué no derivó ninguno. El silencio no es una decisión.</t>
  </si>
  <si>
    <t>Universidad de la Cuenca del Plata · Ingeniería en Sistemas de Información · Comisión A · Sede Posadas · Docente Titular: PosDr. Darío Ezequiel Díaz · ISI-PFG-2026C2-AE2-v02</t>
  </si>
  <si>
    <t>Una fila por requisito, con los seis campos completos. Regla de cómputo: un requisito sin criterio de aceptación comprobable no se computa, por bien redactado que esté. Antes de cerrar una fila, aplique la prueba del compañero: otro integrante debe poder decir, en diez segundos, cómo verificaría el requisito.</t>
  </si>
  <si>
    <t>Cada candidata pasa por el filtro de las tres preguntas. Las descartadas no se borran: se reclasifican, porque los descartes de hoy son las preguntas del glosario de mañana.</t>
  </si>
  <si>
    <t>Para qué sirve este libro</t>
  </si>
  <si>
    <t>ID</t>
  </si>
  <si>
    <t>Código (H-01, H-02…)</t>
  </si>
  <si>
    <t>Reúne, en un solo archivo versionable, los instrumentos de la Unidad Dos que producen el Capítulo III y alimentan los Capítulos V y X: el catálogo de requisitos, la matriz de trazabilidad, el filtro de entidades, el registro de reglas, el glosario, el plan de iteraciones y el dimensionamiento de recursos. La hoja «Panel» controla sola el estado de completitud y avisa qué falta.</t>
  </si>
  <si>
    <t>Enunciado</t>
  </si>
  <si>
    <t>Tipo</t>
  </si>
  <si>
    <t>Categoría (si es no funcional)</t>
  </si>
  <si>
    <t>Hallazgo de la AE1 (dato y valor)</t>
  </si>
  <si>
    <t>Fuente (apartado del Cap. II o acta)</t>
  </si>
  <si>
    <t>Requisito(s) derivado(s)</t>
  </si>
  <si>
    <t>Prioridad</t>
  </si>
  <si>
    <t>Si no deriva: justificación</t>
  </si>
  <si>
    <t>Motivo de la prioridad</t>
  </si>
  <si>
    <t>Control de la doble vía</t>
  </si>
  <si>
    <t>Componente(s) que lo satisfacen (detalle en la hoja «Código y pruebas»)</t>
  </si>
  <si>
    <t>Criterio de aceptación (condición, acción, resultado con valores)</t>
  </si>
  <si>
    <t>Prueba(s) que lo verifican</t>
  </si>
  <si>
    <t>Trazabilidad (H-xx o acta)</t>
  </si>
  <si>
    <t>Dónde se guarda</t>
  </si>
  <si>
    <t>Estado de validación</t>
  </si>
  <si>
    <t>Iteración prevista</t>
  </si>
  <si>
    <t>¿Integra el MVP?</t>
  </si>
  <si>
    <t>Control de completitud</t>
  </si>
  <si>
    <t>En el repositorio del equipo, carpeta /03-requisitos, con la nomenclatura de la cátedra: AAAAMMDD_CatalogoRequisitos_Equipo_vN.xlsx. Se versiona cada vez que se cierra un bloque de filas, no una sola vez antes de la entrega.</t>
  </si>
  <si>
    <t>RF-01</t>
  </si>
  <si>
    <t>H-01</t>
  </si>
  <si>
    <t>Registro de chat de WhatsApp del 24/11/2025: superposición de un turno a las 16:00 h pese a estar confirmado dos semanas antes en el registro físico; el horario seguía figurando disponible por falta de sincronización digital.</t>
  </si>
  <si>
    <t>Cap. I.1, evidencia fechada</t>
  </si>
  <si>
    <t>El sistema rechaza la confirmación de la reserva de un turno cuando la profesional seleccionada ya tiene otro turno activo (no cancelado ni cancelado por inasistencia) el mismo día y a la misma hora de inicio, y no acepta reservas fuera de las franjas de atención que cada profesional define. Las franjas se arman en bloques que no se pisen: el sistema compara la hora de inicio y no detecta solapamientos por duración (aceptado por la propietaria el 30/10/2026).</t>
  </si>
  <si>
    <t>Qué celdas se completan</t>
  </si>
  <si>
    <t>Todas las celdas blancas y grises de cada hoja, a partir de la fila 5. Las filas sombreadas en ocre son ejemplos resueltos sobre el caso conductor «Santa Ana»: se leen, no se copian, y se borran antes de entregar. Las columnas de control, sombreadas en amarillo, contienen fórmulas: no se escriben.</t>
  </si>
  <si>
    <t>Funcional</t>
  </si>
  <si>
    <t>Cómo se usan las listas desplegables</t>
  </si>
  <si>
    <t>Las columnas de tipo, prioridad y estado admiten sólo los valores de la lista. Si un valor es rechazado, es porque la categoría no corresponde a la clasificación de la cátedra.</t>
  </si>
  <si>
    <t>Qué mira la corrección</t>
  </si>
  <si>
    <t>Must</t>
  </si>
  <si>
    <t>Que cada requisito tenga sus seis campos, que su criterio de aceptación sea un procedimiento ejecutable por un tercero, que la trazabilidad cierre en doble vía y que el conjunto de los requisitos «Must» coincida con el producto mínimo viable del apartado V.5.</t>
  </si>
  <si>
    <t>Es el «primer requisito derivado» explícito del informe (Cap. I.3) y la condición central de éxito del proyecto: reducir a 0 las superposiciones de turno.</t>
  </si>
  <si>
    <t>Dado un turno ya confirmado para la profesional X el día D a las H, cuando otra clienta intenta reservar a la misma profesional X, el mismo día D y la misma hora H, el sistema rechaza la reserva y no la registra en la base, verificable repitiendo la reserva y consultando la tabla de turnos. Además, dada una profesional con una franja de 09:00 a 13:00, cuando una clienta intenta reservarle un turno a las 14:00, el sistema responde error 400 OUT_OF_HOURS y no crea el turno; y ante la misma hora ya ocupada responde 409 PROFESSIONAL_SLOT_TAKEN. Verificable con appointments.booking y appointments.out-of-hours.</t>
  </si>
  <si>
    <t>H-01, H-02; constancia de Loren del 30/10/2026 (pregunta 3)</t>
  </si>
  <si>
    <t>Orden de trabajo sugerido</t>
  </si>
  <si>
    <t>Validado</t>
  </si>
  <si>
    <t>1) Entidades y Reglas, en el taller. 2) Trazabilidad, con los hallazgos de la AE1 codificados H-01, H-02… 3) Catálogo, derivando requisitos de esos hallazgos. 4) Sesión de validación con el referente y actualización de los estados. 5) Iteraciones y Recursos, ya con el catálogo cerrado.</t>
  </si>
  <si>
    <t>Sí</t>
  </si>
  <si>
    <t>Advertencia</t>
  </si>
  <si>
    <t>Ante divergencia entre este libro y la Consigna ISI-PFG-2026C2-AE2-v02, prevalece la consigna. Ante divergencia entre la consigna y la Resolución Rectoral UCP N.º 97/23, prevalece la Resolución.</t>
  </si>
  <si>
    <t>RF-01: Índice único parcial por profesional, fecha y hora de inicio; createForClient; assertWithinAvailability</t>
  </si>
  <si>
    <t>Candidata (sustantivo de la organización)</t>
  </si>
  <si>
    <t>RF-01: appointments.booking, appointments.out-of-hours, appointments.cancel-reschedule</t>
  </si>
  <si>
    <t>Leyenda de colores</t>
  </si>
  <si>
    <t>¿Identidad propia?</t>
  </si>
  <si>
    <t>¿Datos y reglas propios?</t>
  </si>
  <si>
    <t>¿Dentro del recorte?</t>
  </si>
  <si>
    <t>Veredicto</t>
  </si>
  <si>
    <t>Fuente que la acredita</t>
  </si>
  <si>
    <t>Relaciones principales</t>
  </si>
  <si>
    <t>H-02</t>
  </si>
  <si>
    <t>Línea de base cuantificada: 10 turnos superpuestos por mes sobre 120 turnos individuales de Loren (8,33% de error), medida entre noviembre de 2025 y julio de 2026 cruzando la agenda de papel con los chats de WhatsApp.</t>
  </si>
  <si>
    <t>Cap. I.3, línea de base</t>
  </si>
  <si>
    <t>Turno</t>
  </si>
  <si>
    <t>Ocre</t>
  </si>
  <si>
    <t>H-03</t>
  </si>
  <si>
    <t>Costo de oportunidad mensual estimado entre $150.000 y $540.000 ARS por clientas que desisten de reservar o reagendar tras un conflicto de agenda.</t>
  </si>
  <si>
    <t>Cap. I.3, consecuencia acreditada</t>
  </si>
  <si>
    <t>Fila de ejemplo resuelta sobre el caso «Santa Ana». Se borra antes de entregar.</t>
  </si>
  <si>
    <t>No deriva un requisito propio: es el impacto económico que sostiene la prioridad «Must» de RF-01, RF-03 y RF-04, no una funcionalidad nueva del sistema.</t>
  </si>
  <si>
    <t>Entidad</t>
  </si>
  <si>
    <t>Cap. I.6, módulos funcionales; Cap. I.3, línea de base de turnos superpuestos</t>
  </si>
  <si>
    <t>Un turno pertenece a una clienta y a una profesional; puede agruparse con otros turnos simultáneos de la misma reserva.</t>
  </si>
  <si>
    <t>RF-02</t>
  </si>
  <si>
    <t>H-04</t>
  </si>
  <si>
    <t>El sistema permite a una visitante reservar un turno mediante un formulario web, dando de alta su propia cuenta con nombre, apellido y teléfono celular.</t>
  </si>
  <si>
    <t>El estudio opera sin ningún sistema de información formal: no existe una base de datos centralizada de clientas, turnos, señas ni profesionales.</t>
  </si>
  <si>
    <t>Cap. I.3, diagnóstico del SI actual</t>
  </si>
  <si>
    <t>RF-02, RF-11</t>
  </si>
  <si>
    <t>RF-02: registerDto; auth.service › register; createForClient; displayStatusOf | RF-11: service.controller; service.model</t>
  </si>
  <si>
    <t>Profesional</t>
  </si>
  <si>
    <t>RF-02: auth.test, appointments.booking | RF-11: Sin prueba del alta ni del listado</t>
  </si>
  <si>
    <t>Amarillo</t>
  </si>
  <si>
    <t>Es el mecanismo que reemplaza la coordinación por WhatsApp y cuaderno físico, causa raíz identificada del problema (Cap. I.1, I.3).</t>
  </si>
  <si>
    <t>Dado un visitante sin cuenta, cuando completa el formulario con nombre, apellido y teléfono celular (los tres obligatorios y en campos separados) y elige servicio y horario, el sistema crea la cuenta y el turno queda confirmado y se muestra como «Pendiente de seña» (estado derivado de una seña sin pagar) hasta que la seña se pague, verificable en el listado de turnos de la clienta.</t>
  </si>
  <si>
    <t>Celda con fórmula de control. No se escribe.</t>
  </si>
  <si>
    <t>Cap. II.3, capacidad operativa (7 profesionales); Anexo I, entrevista a Loren</t>
  </si>
  <si>
    <t>H-05</t>
  </si>
  <si>
    <t>Una profesional atiende muchos turnos; ofrece uno o varios servicios del catálogo.</t>
  </si>
  <si>
    <t>El 93,57% (131 de 140) de los establecimientos de estética relevados en Posadas opera sin ningún sistema digital; solo 9 (6,43%) cuentan con web o plataforma propia.</t>
  </si>
  <si>
    <t>Cap. II.1 y II.5, relevamiento propio en Google Maps, agosto de 2026</t>
  </si>
  <si>
    <t>No deriva un requisito: es evidencia de contexto de mercado (PESTEL/FODA) que descarta la presión competitiva como desencadenante, no una funcionalidad del sistema.</t>
  </si>
  <si>
    <t>Clienta</t>
  </si>
  <si>
    <t>RF-03</t>
  </si>
  <si>
    <t>El sistema calcula la seña según el valor que la propietaria define en Configuración (un monto fijo en pesos o un porcentaje del servicio; hoy $5.000 ARS) y permite pagarla con Mercado Pago (hoy en modo prueba, con tarjeta de prueba) o coordinarla por WhatsApp; el turno queda confirmado con la seña pendiente hasta que se acredita o la propietaria la marca como pagada. Si la seña no se paga en el plazo definido en RF-14, el turno se libera.</t>
  </si>
  <si>
    <t>H-06</t>
  </si>
  <si>
    <t>Blanco y gris</t>
  </si>
  <si>
    <t>El estudio recibe entre 20 y 30 mensajes de WhatsApp diarios, en su mayoría consultas repetitivas sobre disponibilidad, precios y señas.</t>
  </si>
  <si>
    <t>Cap. II.3 y II.5; entrevista a Loren, 26/08/2026</t>
  </si>
  <si>
    <t>RNF-01</t>
  </si>
  <si>
    <t>Cap. I.6, captura de información en el registro; Cap. II.1, fuentes primarias</t>
  </si>
  <si>
    <t>Objetivo específico N.º 3 del proyecto (Cap. I.2): reemplaza el cobro manual de señas por transferencia que relevó H-08. El monto lo decide la propietaria, que hoy cobra $5.000.</t>
  </si>
  <si>
    <t>Una clienta reserva muchos turnos; puede tener observaciones operativas asociadas.</t>
  </si>
  <si>
    <t>Dado un turno de precio P y una seña configurada en $5.000, cuando la clienta confirma la reserva y elige Mercado Pago, el sistema genera el cobro por el monto configurado; el turno queda confirmado con la seña «pendiente» y esta pasa a «pagada» cuando la pasarela acredita el pago. Si elige coordinar por WhatsApp, la seña queda «pendiente» hasta que la propietaria la marca como pagada. Verificable en el estado de pago del turno y en el valor de la seña de Configuración.</t>
  </si>
  <si>
    <t>RNF-01: Sin componente específico</t>
  </si>
  <si>
    <t>Celdas que completa el equipo.</t>
  </si>
  <si>
    <t>H-08; constancia de Loren del 30/10/2026 (pregunta 7)</t>
  </si>
  <si>
    <t>RNF-01: Sin prueba</t>
  </si>
  <si>
    <t>Servicio</t>
  </si>
  <si>
    <t>H-07</t>
  </si>
  <si>
    <t>La conciliación manual de un turno insume entre 10 y 15 minutos por consulta, tomada como línea de base del Objetivo específico N.º 4.</t>
  </si>
  <si>
    <t>Cap. II.3</t>
  </si>
  <si>
    <t>RF-04</t>
  </si>
  <si>
    <t>El sistema devuelve el 100% de la seña si la clienta cancela con 12 horas o más de anticipación al turno, y retiene el 100% si cancela con menos de 12 horas o no se presenta.</t>
  </si>
  <si>
    <t>Cap. II.3, síntesis del catálogo relevado (uñas, cabello, cuerpo, rostro)</t>
  </si>
  <si>
    <t>Un servicio pertenece a una categoría; es ofrecido por una o varias profesionales; es elegido en muchos turnos.</t>
  </si>
  <si>
    <t>Regla de negocio explícita relevada en la entrevista a la propietaria (R-02); condiciona la confianza de las clientas en el cobro de señas.</t>
  </si>
  <si>
    <t>Dado un turno con seña pagada, pactado a las 18:00 h del día D, cuando la clienta cancela a las 05:00 h del mismo día D (menos de 12 horas antes), la seña no cambia de estado y queda a favor del estudio (retenida); cuando cancela un día antes a las 17:00 h (más de 12 horas antes), el sistema marca la seña como «devuelta» (estado de pago refunded), verificable en el estado de pago del turno. El sistema solo registra la marca: la devolución del dinero se coordina fuera de él (ver L-08).</t>
  </si>
  <si>
    <t>H-09; constancia de Loren del 30/10/2026 (pregunta 5)</t>
  </si>
  <si>
    <t>H-08</t>
  </si>
  <si>
    <t>Producto</t>
  </si>
  <si>
    <t>Seña fija de $5.000 ARS para turnos individuales, o del 50% del valor para talleres, cobrada manualmente por transferencia bancaria sin trazabilidad automatizada.</t>
  </si>
  <si>
    <t>Cap. I.3 y II.3; Anexo I</t>
  </si>
  <si>
    <t>RF-03, RNF-04</t>
  </si>
  <si>
    <t>RF-03: computeDeposit; createPaymentPreference; applyPaymentResult; webhook de Mercado Pago | RNF-04: schema.prisma (solo mpPaymentId)</t>
  </si>
  <si>
    <t>Novedades de la v7</t>
  </si>
  <si>
    <t>RF-03: whatsapp-payment, payments.webhook-amount, payments.webhook-idempotency | RNF-04: schema.no-card-data</t>
  </si>
  <si>
    <t>Se agregan 27 requisitos, las reglas R-08 a R-21, los límites L-07 a L-10, 14 entidades y tres hojas: «Código y pruebas», «Funciones de apoyo y deuda» y «Cambios v7». El detalle está en «Cambios v7».</t>
  </si>
  <si>
    <t>Cap. I.5, descripción breve del sistema de información («comprar productos»); modelos Product y Order; RF-19. Función agregada por la autora (confirmado el 30/10/2026).</t>
  </si>
  <si>
    <t>Un producto puede incluirse en muchos pedidos de la tienda.</t>
  </si>
  <si>
    <t>H-09</t>
  </si>
  <si>
    <t>Política de cancelación relevada: devolución total con aviso de 12 horas o más; retención del 100% de la seña con aviso menor a 12 horas o no-show.</t>
  </si>
  <si>
    <t>Cap. I.6 y II.3</t>
  </si>
  <si>
    <t>RF-04: cancelWithGroup; cancelForClient; PaymentSettings.cancellationHours</t>
  </si>
  <si>
    <t>RF-04: appointments.cancel-reschedule, timezone-art</t>
  </si>
  <si>
    <t>Requisitos «EXTRA»</t>
  </si>
  <si>
    <t>Promoción</t>
  </si>
  <si>
    <t>Un requisito cuyo origen empieza con «EXTRA» se construyó sin un hallazgo de la AE1. Se declara así para no inventar evidencia. Todos están en estado «Pendiente» hasta que la propietaria los confirme.</t>
  </si>
  <si>
    <t>H-10</t>
  </si>
  <si>
    <t>Tolerancia de llegada de 20 minutos desde el horario pactado; superado ese margen, el turno se cancela para no demorar la agenda subsiguiente.</t>
  </si>
  <si>
    <t>RF-05</t>
  </si>
  <si>
    <t>Cap. I.5, descripción breve del sistema de información («crear promociones»); modelo Promotion; RF-20.</t>
  </si>
  <si>
    <t>RF-05: runAutoNoShowJob; scheduler; registerArrival</t>
  </si>
  <si>
    <t>Una promoción se aplica sobre uno o varios servicios o productos.</t>
  </si>
  <si>
    <t>RF-05: appointments.arrival-noshow, timezone-art</t>
  </si>
  <si>
    <t>El sistema cancela automáticamente un turno y libera el horario para reasignar si transcurren más de 20 minutos desde la hora pactada sin que se registre su llegada (la clienta o el personal la registran el día del turno).</t>
  </si>
  <si>
    <t>Estado de las brechas</t>
  </si>
  <si>
    <t>En «Código y pruebas», una brecha «Abierta» se cierra con código o se acepta y se declara. «Aceptada y declarada» exige que figure en el informe.</t>
  </si>
  <si>
    <t>H-11</t>
  </si>
  <si>
    <t>Hoy Loren asigna a la profesional por antigüedad y disponibilidad, sin asignación automática (entrevista a Loren); el sistema debe asignar automáticamente, cuando la clienta no elige una en particular, a la profesional libre con menos turnos en la semana y, a igual carga, a la de mayor antigüedad.</t>
  </si>
  <si>
    <t>Cap. I.6, módulos funcionales; Anexo I, entrevista a Loren</t>
  </si>
  <si>
    <t>Categoría de servicio</t>
  </si>
  <si>
    <t>RF-06</t>
  </si>
  <si>
    <t>Parcialmente</t>
  </si>
  <si>
    <t>No</t>
  </si>
  <si>
    <t>RF-06: resolveProfessionalId; previewAnyProfessional; weekRangeOf</t>
  </si>
  <si>
    <t>RF-06: appointments.booking</t>
  </si>
  <si>
    <t>Should</t>
  </si>
  <si>
    <t>Atributo de otra entidad</t>
  </si>
  <si>
    <t>Evita demoras en la agenda subsiguiente (Cap. I.6), pero no es indispensable para el objetivo central de eliminar superposiciones.</t>
  </si>
  <si>
    <t>Cap. II.3, síntesis del catálogo relevado (cuatro categorías: uñas, cabello, cuerpo, rostro)</t>
  </si>
  <si>
    <t>Clasifica al Servicio; no tiene reglas de negocio propias más allá de agrupar.</t>
  </si>
  <si>
    <t>Dado un turno pactado a las 10:00 h, cuando el reloj del sistema marca las 10:21 h sin registro de llegada de la clienta, el turno pasa a estado «cancelado por inasistencia» (cancelled_no_show) y el horario queda disponible para nueva reserva; a las 10:19 h el turno no se modifica. Verificable en el estado del turno y en la grilla de disponibilidad (appointments.arrival-noshow).</t>
  </si>
  <si>
    <t>H-12</t>
  </si>
  <si>
    <t>Distintos tipos de servicio requieren datos específicos (uñas: cantidad y reconstrucción; cabello: largo y extensiones; rostro: tipo de piel), y permiten adjuntar imágenes o textos de referencia.</t>
  </si>
  <si>
    <t>Cap. I.6</t>
  </si>
  <si>
    <t>No deriva un requisito propio de este catálogo: son variantes de captura de datos por categoría de servicio que se resuelven en el diseño del formulario de reserva, no una restricción de negocio autónoma.</t>
  </si>
  <si>
    <t>H-10; constancia de Loren del 30/10/2026 (pregunta 6)</t>
  </si>
  <si>
    <t>Seña</t>
  </si>
  <si>
    <t>H-13</t>
  </si>
  <si>
    <t>La información de alergias y tipo de piel hoy se releva de forma verbal e informal, sin ningún registro sistemático.</t>
  </si>
  <si>
    <t>Cap. II.6, conclusiones del relevamiento</t>
  </si>
  <si>
    <t>RF-07, RNF-03</t>
  </si>
  <si>
    <t>Cap. I.6, cobro de la seña; Cap. II.3, condiciones financieras y señas</t>
  </si>
  <si>
    <t>No existe sin un Turno asociado; hereda su estado del ciclo de vida del turno.</t>
  </si>
  <si>
    <t>RF-07: detailsSchema; updateDetailsForClient; assertAllergiesUnchanged | RNF-03: toProfessionalView; listClientsForProfessional; mapAdminClient</t>
  </si>
  <si>
    <t>RF-07: allergies.consent-visibility | RNF-03: allergies.consent-visibility</t>
  </si>
  <si>
    <t>Establecimiento (Loren)</t>
  </si>
  <si>
    <t>H-14</t>
  </si>
  <si>
    <t>Producto del sistema</t>
  </si>
  <si>
    <t>Cap. I.1, origen del proyecto; Anexo III, ADR-001 sobre arquitectura single-tenant</t>
  </si>
  <si>
    <t>Cuando la clienta no indica preferencia por una profesional, el sistema asigna automáticamente el turno a la profesional disponible en ese día y hora, habilitada para el servicio, con menos turnos en la semana; a igual carga, la de mayor antigüedad.</t>
  </si>
  <si>
    <t>Es la configuración global de esta instancia; no tiene múltiples ejemplares dentro de este sistema.</t>
  </si>
  <si>
    <t>Exigencia de consentimiento diferenciado para guardar datos de alergias o piel sensible, conforme a la Ley N.º 25.326.</t>
  </si>
  <si>
    <t>Mejora la distribución de la carga de trabajo (Cap. I.6), pero la clienta puede igualmente elegir profesional de forma manual, por lo que no bloquea el objetivo central.</t>
  </si>
  <si>
    <t>Cap. I.6 y I.7</t>
  </si>
  <si>
    <t>Dadas tres profesionales habilitadas para «manicura» y libres a la hora pedida, con 8, 5 y 5 turnos reservados en la semana, cuando una clienta reserva «manicura» sin elegir profesional, el sistema asigna el turno a la de mayor antigüedad entre las dos con 5 turnos, verificable en el campo de profesional asignada del turno creado.</t>
  </si>
  <si>
    <t>H-11; constancia de Loren del 30/10/2026 (pregunta 4)</t>
  </si>
  <si>
    <t>WhatsApp</t>
  </si>
  <si>
    <t>H-15</t>
  </si>
  <si>
    <t>Exigencia de exponer la política de privacidad antes de registrar datos personales, con registro de fecha, hora y versión aceptada.</t>
  </si>
  <si>
    <t>Cap. I.6, Ley N.º 25.326 Art. 25</t>
  </si>
  <si>
    <t>Elemento del entorno</t>
  </si>
  <si>
    <t>RF-08</t>
  </si>
  <si>
    <t>Cap. I.6, exclusiones declaradas; Anexo II, nota aclaratoria sobre el ícono flotante</t>
  </si>
  <si>
    <t>Canal externo de contacto institucional; queda fuera de la arquitectura de reserva de Nexa.</t>
  </si>
  <si>
    <t>RF-08: register; PRIVACY_POLICY_VERSION; RegisterForm.tsx</t>
  </si>
  <si>
    <t>RF-08: terms-version, auth.test</t>
  </si>
  <si>
    <t>RF-07</t>
  </si>
  <si>
    <t>H-16</t>
  </si>
  <si>
    <t>Exigencia de que la propietaria pueda eliminar o anonimizar datos personales a pedido de la titular, con constancia de auditoría, preservando solo los registros contables o fiscales exigidos.</t>
  </si>
  <si>
    <t>El sistema solicita un consentimiento diferenciado y específico antes de guardar cualquier dato de alergias o sensibilidad de piel de la clienta, e impide su guardado si no se otorga.</t>
  </si>
  <si>
    <t>Cap. I.6 y I.7, Ley N.º 25.326 Art. 25</t>
  </si>
  <si>
    <t>RF-09, RNF-05</t>
  </si>
  <si>
    <t>RF-09: anonymizeClient; ClientDetail.tsx | RNF-05: activity.service › log; logStatusChange; anonymizeClient</t>
  </si>
  <si>
    <t>RF-09: admin.clients | RNF-05: appointments.status-log, admin.clients</t>
  </si>
  <si>
    <t>Exigencia directa de la Ley N.º 25.326 relevada en Cap. I.6 y I.7; su incumplimiento expone legalmente al proyecto.</t>
  </si>
  <si>
    <t>Cuaderno físico de turnos</t>
  </si>
  <si>
    <t>Dado el formulario de detalles de la reserva con el campo «alergias» completado, cuando la clienta no marca la casilla de consentimiento, el sistema no guarda ese valor en la base; cuando sí la marca, el valor se guarda junto con la fecha y hora del consentimiento, verificable en el registro de la reserva. Además, ni la propietaria desde el panel ni la profesional pueden cargar o modificar alergias: solo la clienta, con su consentimiento; un intento de cambiarlas desde el panel de administración responde error de validación, verificable con una llamada a la API de administración.</t>
  </si>
  <si>
    <t>H-13, H-14; constancia de Loren del 30/10/2026 (pregunta 8)</t>
  </si>
  <si>
    <t>H-17</t>
  </si>
  <si>
    <t>Existencia de servicios simultáneos con dos profesionales distintas, hoy coordinados de forma manual y verbal entre ellas.</t>
  </si>
  <si>
    <t>Anexo I, entrevista a Loren</t>
  </si>
  <si>
    <t>RF-10</t>
  </si>
  <si>
    <t>RF-10: createComboForClient; comboGroupId</t>
  </si>
  <si>
    <t>RF-10: appointments.combo-deposit, appointments.combo</t>
  </si>
  <si>
    <t>Cap. I.1, origen del proyecto; Cap. I.3, diagnóstico del sistema de información actual</t>
  </si>
  <si>
    <t>Es la fuente de verdad actual que Nexa reemplaza; no se digitaliza ni se migra al sistema.</t>
  </si>
  <si>
    <t>El sistema expone la política de privacidad a la clienta antes de registrar cualquier dato personal, impide continuar el flujo si la rechaza, y registra fecha, hora y versión aceptada.</t>
  </si>
  <si>
    <t>H-18</t>
  </si>
  <si>
    <t>Preferencia relevada de las clientas por un flujo web liviano desde el navegador, sin descarga de aplicaciones nativas.</t>
  </si>
  <si>
    <t>Exigencia de los Art. 21 y 25 de la Ley N.º 25.326 (Cap. I.6, I.7).</t>
  </si>
  <si>
    <t>RNF-02</t>
  </si>
  <si>
    <t>Dado un nuevo registro de clienta, cuando no acepta la política de privacidad, el formulario no avanza al paso siguiente; cuando la acepta, el sistema graba fecha, hora y número de versión de la política en el registro del usuario, verificable en la base.</t>
  </si>
  <si>
    <t>RNF-02: Frontend web (sin app nativa)</t>
  </si>
  <si>
    <t>RNF-02: Sin prueba</t>
  </si>
  <si>
    <t>Movimiento de inventario</t>
  </si>
  <si>
    <t>Modelo InventoryMovement del backend, migraciones del 11/09 al 17/09/2026, commits 0be5ad5 y 208457f (11/09); RF-21.</t>
  </si>
  <si>
    <t>H-19</t>
  </si>
  <si>
    <t>Un movimiento de inventario modifica el stock de un Producto: se registra solo por una carga del administrador. Los pedidos pagados descuentan el stock directamente, sin crear un movimiento.</t>
  </si>
  <si>
    <t>Catálogo de servicios organizado en cuatro categorías (uñas, cabello, cuerpo, rostro), con precios y duraciones diferenciados por técnica, hoy no sistematizado en ningún registro único.</t>
  </si>
  <si>
    <t>Cap. II.3, síntesis del catálogo relevado</t>
  </si>
  <si>
    <t>RF-11</t>
  </si>
  <si>
    <t>RF-11: service.controller; service.model</t>
  </si>
  <si>
    <t>RF-11: Sin prueba del alta ni del listado</t>
  </si>
  <si>
    <t>Campaña automática</t>
  </si>
  <si>
    <t>RF-09</t>
  </si>
  <si>
    <t>El sistema permite a la propietaria ejecutar la anonimización del nombre, el apellido, el correo y el teléfono de una clienta que lo solicite, desactivar su cuenta y cerrar sus sesiones, preservando los turnos y pagos exigidos por obligaciones contables o fiscales, y deja constancia de auditoría. Los demás datos de la clienta (alergias, observaciones, notas, fecha de nacimiento y fotos) quedan fuera de esta versión (ver L-07).</t>
  </si>
  <si>
    <t>H-20</t>
  </si>
  <si>
    <t>El estudio atiende de forma autónoma a partir de los 13 años; para menores de 13, la reserva y gestión del turno la realiza exclusivamente la madre, padre o tutor, sin registrar datos identificatorios de la menor.</t>
  </si>
  <si>
    <t>Modelo AutoPromotion del backend, commits 0be5ad5 y 208457f (11/09); RF-22.</t>
  </si>
  <si>
    <t>Cap. I.7, atención de menores y registro de acompañantes</t>
  </si>
  <si>
    <t>Una campaña automática (cumpleaños, hito de turno N) genera envíos a las clientas; el descuento queda informado en el mail.</t>
  </si>
  <si>
    <t>RF-12</t>
  </si>
  <si>
    <t>Exigencia legal (Cap. I.6, Art. 25 Ley N.º 25.326), pero de volumen de uso bajo esperado en esta primera etapa; no bloquea el objetivo central del proyecto.</t>
  </si>
  <si>
    <t>RF-12: COMPANION_RELATIONS; CHECK en la base</t>
  </si>
  <si>
    <t>RF-12: appointments.companion</t>
  </si>
  <si>
    <t>Dada una clienta que solicita la baja de sus datos, cuando la propietaria confirma la anonimización desde el panel, el nombre, el apellido y el contacto de la clienta dejan de ser recuperables en las consultas del sistema, y se genera un registro con fecha, hora, usuario que la ejecutó y clienta afectada en el log de auditoría, verificable en ambas consultas.</t>
  </si>
  <si>
    <t>Pendiente</t>
  </si>
  <si>
    <t>Envío de campaña</t>
  </si>
  <si>
    <t>H-21</t>
  </si>
  <si>
    <t>Ocho plataformas genéricas de reserva evaluadas y descartadas (ReservaSimple, Agenda+, AgendaPro, WeiBook, MiAgendaProfesional, Tiska, Turnau, Booksy) por costos dolarizados o suscripciones fijas inviables, y por no adaptarse al esquema local de alquiler más comisión.</t>
  </si>
  <si>
    <t>Cap. I.4</t>
  </si>
  <si>
    <t>No deriva un requisito: es la evidencia que sostiene la decisión de construir un sistema a medida en vez de adoptar una plataforma genérica, no una funcionalidad concreta de Nexa.</t>
  </si>
  <si>
    <t>Modelo AutoPromotionSend del backend, mismas migraciones y commits que la campaña; RF-22.</t>
  </si>
  <si>
    <t>Solo registra a qué clienta ya se le envió una campaña, para no repetir el envío; no existe sin una Campaña automática.</t>
  </si>
  <si>
    <t>El sistema permite reservar, dentro de un mismo turno, dos o más servicios a cargo de profesionales distintas de forma coordinada, con una sola seña para todos los servicios y todas las profesionales, sin requerir coordinación manual entre ellas.</t>
  </si>
  <si>
    <t>Evento especial</t>
  </si>
  <si>
    <t>Modelo SpecialEvent del backend, commit 1c90c9b (14/09/2026); RF-23.</t>
  </si>
  <si>
    <t>Un evento especial se muestra en el home y se puede reservar sin elegir zonas; no reutiliza el indicador de servicio especial.</t>
  </si>
  <si>
    <t>Reduce una coordinación hoy manual y verbal (Anexo I), pero afecta a una porción acotada de las reservas frente al volumen total.</t>
  </si>
  <si>
    <t>Usuaria (cuenta de acceso)</t>
  </si>
  <si>
    <t>Dada una clienta que reserva «uñas + cejas» para el mismo horario, cuando confirma la reserva, el sistema crea los turnos vinculados —uno por profesional— con el mismo horario de inicio y cobra una sola seña por el combo, verificable en el campo de agrupación de los turnos y en que la seña se registra una única vez.</t>
  </si>
  <si>
    <t>Modelo User (tabla users), migración 20260720211431_init; pruebas auth.*.</t>
  </si>
  <si>
    <t>Una usuaria tiene un rol (clienta, profesional o administradora). Clienta y Profesional extienden su cuenta. Tiene muchas sesiones, restablecimientos de contraseña e invitaciones enviadas.</t>
  </si>
  <si>
    <t>El sistema centraliza en un catálogo único los servicios ofrecidos, organizados en las categorías uñas, cabello, cuerpo y rostro, cada uno con su precio y duración.</t>
  </si>
  <si>
    <t>Objetivo específico N.º 1 del proyecto (centralizar la información hoy dispersa); sin catálogo no hay reserva posible.</t>
  </si>
  <si>
    <t>Dado el panel de administración, cuando la propietaria da de alta un servicio con nombre, categoría, precio y duración, el servicio queda disponible para ser elegido por las clientas en el flujo de reserva, verificable en el listado público de servicios.</t>
  </si>
  <si>
    <t>H-04, H-19</t>
  </si>
  <si>
    <t>Franja de atención</t>
  </si>
  <si>
    <t>El sistema registra, en la reserva de una clienta menor de 13 años gestionada por la cuenta de su madre, padre o tutor, únicamente la condición de acompañante y su vínculo, sin ningún dato identificatorio de la menor.</t>
  </si>
  <si>
    <t>Modelo ProfessionalAvailability (professional_availability), migración 20260817034402; RF-01 y RF-29.</t>
  </si>
  <si>
    <t>Una profesional tiene muchas franjas: día de la semana, hora de inicio y de fin, y estado activo; puede haber varias por día.</t>
  </si>
  <si>
    <t>Exigencia directa del principio de minimización de datos bajo la Ley N.º 25.326 (Cap. I.7); su incumplimiento expone legalmente al proyecto frente al tratamiento de datos de menores.</t>
  </si>
  <si>
    <t>Dada una reserva gestionada por una cuenta adulta que marca «acompañante: sí» y elige el vínculo «hija/hijo», cuando se guarda el turno, el sistema registra solo la condición de acompañante y el vínculo de una lista cerrada (hija/hijo, pareja, familiar, amiga/o, otra), sin ningún campo de nombre, edad ni documento de la menor, verificable en el esquema de datos del turno y en el formulario resultante.</t>
  </si>
  <si>
    <t>H-20; constancia de Loren del 30/10/2026 (pregunta 9)</t>
  </si>
  <si>
    <t>Servicio de la profesional</t>
  </si>
  <si>
    <t>Modelo ProfessionalService (professional_services), migración 20260817181925.</t>
  </si>
  <si>
    <t>Relaciona una profesional con un servicio que ofrece, con precio y duración propios; es único por par.</t>
  </si>
  <si>
    <t>El flujo de reserva web (selección de servicio, horario y confirmación) responde en dispositivos móviles con conexión 4G en 5 segundos o menos entre la selección del horario y la confirmación de la reserva, sin esperar la respuesta manual del estudio.</t>
  </si>
  <si>
    <t>No funcional</t>
  </si>
  <si>
    <t>Rendimiento</t>
  </si>
  <si>
    <t>Cap. II.5 (PESTEL social) exige explícitamente un «flujo ultrarrápido y responsivo para dispositivos móviles» dado el volumen de ~450 turnos mensuales.</t>
  </si>
  <si>
    <t>En una prueba de reserva de punta a punta desde un dispositivo móvil con conexión 4G, el tiempo entre la selección del horario y la confirmación de la reserva (previo a la redirección a la pasarela de pago) es menor o igual a 5 segundos, medido en tres repeticiones consecutivas.</t>
  </si>
  <si>
    <t>H-06, H-07</t>
  </si>
  <si>
    <t>Pedido</t>
  </si>
  <si>
    <t>El sistema debe operar íntegramente desde el navegador web, sin exigir a la clienta la descarga de una aplicación nativa para reservar un turno.</t>
  </si>
  <si>
    <t>Modelo Order (orders), migración 20260826153839; RF-19.</t>
  </si>
  <si>
    <t>Usabilidad</t>
  </si>
  <si>
    <t>Un pedido pertenece a una clienta, tiene líneas de pedido, un medio de pago (Mercado Pago o WhatsApp) y un estado.</t>
  </si>
  <si>
    <t>Preferencia relevada explícitamente en las conclusiones del relevamiento (Cap. II.6) y en la entrevista a la clienta frecuente.</t>
  </si>
  <si>
    <t>Un usuario sin ninguna aplicación instalada además del navegador completa el flujo completo de reserva y pago de seña únicamente accediendo a la URL del sistema, verificable repitiendo la prueba en un dispositivo sin instalaciones adicionales.</t>
  </si>
  <si>
    <t>Línea de pedido</t>
  </si>
  <si>
    <t>RNF-03</t>
  </si>
  <si>
    <t>El sistema muestra la alergia o sensibilidad de piel declarada en un turno solo a la profesional asignada a ese turno, a la propia clienta y a la propietaria; la alergia guardada en el perfil de la clienta la ven además las profesionales que ya la atendieron. Una profesional que nunca atendió a la clienta no ve ninguna. El dato se trata como advertencia operativa, no como historia clínica.</t>
  </si>
  <si>
    <t>Modelo ProductOrder (product_orders), migración 20260825191030.</t>
  </si>
  <si>
    <t>Cada línea une un pedido con un producto, una cantidad y un precio unitario.</t>
  </si>
  <si>
    <t>Seguridad</t>
  </si>
  <si>
    <t>Exigencia normativa directa de la Ley N.º 25.326 (Cap. I.6, I.7, II.5).</t>
  </si>
  <si>
    <t>Dada una clienta con una alergia registrada en un turno y en su perfil, cuando consulta el sistema la profesional asignada al turno, ve ambas; cuando consulta una profesional que atendió antes a la clienta pero no está asignada a ese turno, ve solo la del perfil y recibe error 404 al abrir el turno; cuando consulta una profesional que nunca la atendió, no ve ninguna. Verificable con las pruebas automatizadas de visibilidad y revisando las consultas de cada rol.</t>
  </si>
  <si>
    <t>H-13, H-14</t>
  </si>
  <si>
    <t>Reseña</t>
  </si>
  <si>
    <t>Modelo Review (reviews), migración 20260828002600; RF-25.</t>
  </si>
  <si>
    <t>Una reseña pertenece a un turno finalizado (una por turno) y a una clienta; el comentario tiene un estado (aprobado, pendiente o rechazado).</t>
  </si>
  <si>
    <t>RNF-04</t>
  </si>
  <si>
    <t>El sistema delega en una pasarela de pagos certificada toda captura de medios de pago y conserva únicamente el identificador de confirmación (token) que ella devuelve; no almacena datos de tarjetas ni de cuentas bancarias.</t>
  </si>
  <si>
    <t>Cumplimiento normativo</t>
  </si>
  <si>
    <t>Notificación</t>
  </si>
  <si>
    <t>Exigencia explícita de Cap. I.7 / II.5 sobre la relación con la pasarela de pagos; evita exponer a Loren y Kologic a responsabilidad sobre datos financieros de terceros.</t>
  </si>
  <si>
    <t>Una revisión del esquema de la base de datos del sistema no encuentra ninguna columna que almacene número de tarjeta, código de seguridad o dato bancario de la clienta; el único dato de pago retenido es el identificador de confirmación (token) devuelto por la pasarela, verificable por inspección del esquema.</t>
  </si>
  <si>
    <t>Modelos ProfessionalNotification y ClientNotification, migraciones 20260825174535 y 20260828001306; RF-24.</t>
  </si>
  <si>
    <t>Aviso dentro de la aplicación para una profesional o una clienta, con tipo, título, texto, enlace y marca de leído.</t>
  </si>
  <si>
    <t>Registro de actividad</t>
  </si>
  <si>
    <t>RNF-05</t>
  </si>
  <si>
    <t>El sistema registra, con fecha y hora, los cambios de estado de un turno y toda anonimización de datos personales; no elimina datos físicamente.</t>
  </si>
  <si>
    <t>Modelo ActivityLog (activity_logs), migración 20260825174535; RF-27 y RNF-05.</t>
  </si>
  <si>
    <t>Exigencia del Art. 25 de la Ley N.º 25.326 (Cap. I.6) para sostener la trazabilidad ante una eventual auditoría; no bloquea la operación diaria de reserva.</t>
  </si>
  <si>
    <t>Una entrada con fecha y hora, usuario (texto), módulo, nivel y detalle; no tiene clave foránea: la referencia va dentro del detalle.</t>
  </si>
  <si>
    <t>Dada la anonimización de los datos de una clienta ejecutada por la propietaria, cuando se consulta el registro de auditoría, aparece una entrada con fecha, hora, usuario que la ejecutó y clienta afectada, verificable en dicho registro.</t>
  </si>
  <si>
    <t>Invitación</t>
  </si>
  <si>
    <t>RF-13</t>
  </si>
  <si>
    <t>Modelo Invitation (invitations), migración 20260720211431_init; RF-29.</t>
  </si>
  <si>
    <t>La clienta puede reprogramar un turno propio pendiente o confirmado a otro horario libre de la misma profesional; el sistema revalida la franja y la superposición, rechaza reprogramar un turno de combo y, si reprograma el personal, avisa a la clienta por mail y en pantalla hasta que lo confirma.</t>
  </si>
  <si>
    <t>Una invitación (correo, enlace único y vencimiento a los 7 días) la envía una usuaria administradora para dar de alta a una profesional.</t>
  </si>
  <si>
    <t>Evita que la clienta cancele y vuelva a reservar, pero el objetivo central de eliminar superposiciones ya lo cubre RF-01.</t>
  </si>
  <si>
    <t>Dado un turno confirmado de una clienta con la profesional X el lunes a las 10:00, cuando la clienta lo reprograma al lunes a las 11:00 y X no tiene otro turno activo a esa hora, el turno pasa a las 11:00; si X ya tiene un turno activo a las 11:00, el sistema responde 409 y el turno queda a las 10:00; si el turno es parte de un combo, el sistema lo rechaza (COMBO_NOT_RESCHEDULABLE). Verificable con appointments.cancel-reschedule.</t>
  </si>
  <si>
    <t>EXTRA: sin hallazgo registrado. Función construida durante el desarrollo.</t>
  </si>
  <si>
    <t>Extra</t>
  </si>
  <si>
    <t>Sesión</t>
  </si>
  <si>
    <t>Modelo RefreshSession (refresh_sessions), migración 20261027120000; RNF-07.</t>
  </si>
  <si>
    <t>Registro técnico de una sesión por dispositivo (huella del token y vencimiento); hasta 10 por usuaria.</t>
  </si>
  <si>
    <t>RF-14</t>
  </si>
  <si>
    <t>El sistema cancela y libera el horario de un turno cuya seña no se pagó dentro del plazo de 20 minutos, salvo que la seña se coordine por WhatsApp; si en un combo queda impaga la pata con seña, cancela el grupo entero.</t>
  </si>
  <si>
    <t>Evita que una reserva sin pago bloquee la agenda de la profesional; completa a RF-02 y RF-03, que dejan el turno a la espera de la seña.</t>
  </si>
  <si>
    <t>Dado un turno con seña por Mercado Pago que sigue sin pagar al vencer el plazo, cuando corre el job de liberación, el turno pasa a cancelado y el horario queda libre para otra reserva; un turno con seña coordinada por WhatsApp no se libera; en un combo con la pata con seña impaga se cancelan todas las patas. Verificable con jobs.release-unpaid.</t>
  </si>
  <si>
    <t>Restablecimiento de contraseña</t>
  </si>
  <si>
    <t>Modelo PasswordReset (password_resets), migración 20260720211431_init; RNF-07.</t>
  </si>
  <si>
    <t>Código de un solo uso con vencimiento para recuperar la contraseña.</t>
  </si>
  <si>
    <t>RF-15</t>
  </si>
  <si>
    <t>El administrador y la profesional pueden crear un turno manual para una clienta existente o nueva (por ejemplo, la que llega sin reserva previa); el turno nace confirmado, sin seña, respeta el índice de no superposición y no se valida contra las franjas de la profesional.</t>
  </si>
  <si>
    <t>Could</t>
  </si>
  <si>
    <t>Cubre la atención sin reserva web; no es necesaria para el flujo de reserva por la clienta.</t>
  </si>
  <si>
    <t>Dado un horario sin turno activo de la profesional X pero fuera de sus franjas, cuando el administrador crea un turno manual a esa hora, el turno se crea confirmado y sin seña; si X ya tiene un turno activo a esa hora de inicio, el sistema responde 409. Verificable con auth.minor-fixes (turno manual con clienta nueva) y la prueba «el turno manual del admin no se valida contra la franja».</t>
  </si>
  <si>
    <t>Foto de galería</t>
  </si>
  <si>
    <t>Modelo ClientGalleryPhoto (client_gallery_photos), migración 20260825043254; RF-28.</t>
  </si>
  <si>
    <t>Foto antes o después de una clienta, con opción de mostrarla en el home.</t>
  </si>
  <si>
    <t>RF-16</t>
  </si>
  <si>
    <t>El administrador registra el cobro del saldo del turno en el local (efectivo, transferencia, tarjeta u otro medio) y el sistema marca el turno como pagado cuando la seña más el saldo cubren el precio; no se admite sobre turnos cancelados.</t>
  </si>
  <si>
    <t>Completa el ciclo de cobro del turno; el cobro de la seña (RF-03) ya cubre el objetivo del proyecto.</t>
  </si>
  <si>
    <t>Configuración del negocio</t>
  </si>
  <si>
    <t>Dado un turno de $10.000 con seña de $5.000 pagada, cuando el administrador registra un saldo de $5.000 en efectivo, el turno pasa a estado de pago «pagado»; con un saldo de $2.000 no pasa; sobre un turno cancelado el sistema rechaza el cobro. Verificable con appointments.balance-payment.</t>
  </si>
  <si>
    <t>Modelos BusinessSettings, BusinessScheduleDay y BusinessHoliday, migración 20260825001927; RF-32.</t>
  </si>
  <si>
    <t>Datos del negocio, horario semanal y feriados de la instancia; fila única, igual que el Establecimiento.</t>
  </si>
  <si>
    <t>RF-17</t>
  </si>
  <si>
    <t>El sistema permite ofrecer servicios especiales de un solo día, con horarios puntuales por profesional, zonas y paquetes; el precio y la duración los calcula el servidor a partir de lo elegido y un horario ya tomado se rechaza.</t>
  </si>
  <si>
    <t>Configuración de pagos</t>
  </si>
  <si>
    <t>Atiende jornadas puntuales del estudio; no forma parte del flujo de reserva de servicios comunes.</t>
  </si>
  <si>
    <t>Dado un servicio especial con un horario ya reservado, cuando otra clienta intenta reservar ese horario, el sistema responde 409 SLOT_TAKEN; el precio del turno es el calculado por el servidor desde las zonas y paquetes elegidos, no el que envía el navegador. Verificable revisando createSpecialForClient (sin prueba automatizada).</t>
  </si>
  <si>
    <t>Modelo PaymentSettings, migración 20260825013112; RF-03, RF-04 y RF-32.</t>
  </si>
  <si>
    <t>Monto o porcentaje de la seña (5.000 por defecto), horas de cancelación (12) y política de devolución; fila única.</t>
  </si>
  <si>
    <t>RF-18</t>
  </si>
  <si>
    <t>El administrador puede bloquear a una clienta; una clienta bloqueada no puede reservar turnos ni comprar productos.</t>
  </si>
  <si>
    <t>Herramienta de gestión para casos puntuales; no afecta al flujo normal de reserva.</t>
  </si>
  <si>
    <t>Dada una clienta bloqueada, cuando intenta reservar un turno o comprar un producto, el sistema responde 403 CLIENT_BLOCKED. Verificable con la prueba «rechaza reservar si la clienta está bloqueada»; la compra y el endpoint de bloqueo no tienen prueba.</t>
  </si>
  <si>
    <t>RF-19</t>
  </si>
  <si>
    <t>El sistema ofrece una tienda de productos: catálogo público, carrito y pedido con retiro o envío, con pago por Mercado Pago o coordinado por WhatsApp; el stock se descuenta recién cuando el pago se aprueba con el monto correcto y el administrador gestiona productos y estados de los pedidos.</t>
  </si>
  <si>
    <t>Amplía el negocio más allá de los turnos; no integra el MVP ni el objetivo central de eliminar superposiciones.</t>
  </si>
  <si>
    <t>Dado un producto activo con stock 5 y un pedido de 2 unidades pagado por Mercado Pago con el monto correcto, cuando el pago se aprueba, el stock baja a 3 y el pedido queda pagado; con un monto menor o en otra moneda el pago no se registra y queda un aviso de error en la actividad; un pedido por más unidades que el stock se rechaza (INSUFFICIENT_STOCK). Verificable con payments.webhook-amount, payments.webhook-idempotency y whatsapp-payment (pedido).</t>
  </si>
  <si>
    <t>EXTRA: sin hallazgo. Función agregada por la autora (confirmado por ella el 30/10/2026); descrita en el Cap. I.5.</t>
  </si>
  <si>
    <t>RF-20</t>
  </si>
  <si>
    <t>El administrador crea promociones de servicio o de producto (descuento, combo o «llevás X, pagás Y») con ventana de vigencia; el servidor recalcula el precio al reservar o comprar y se avisa a las clientas al activarlas.</t>
  </si>
  <si>
    <t>Apoya la venta de la tienda y de los servicios; no es necesaria para reservar.</t>
  </si>
  <si>
    <t>Dada una promoción vigente de $4.000 sobre un servicio de $5.000, cuando la clienta reserva ese servicio, el turno se crea a $4.000 aunque el navegador envíe otro precio; con la promoción vencida se cobra $5.000. Verificable con appointments.booking › promociones (4 casos); el alta y la edición de promociones no tienen prueba.</t>
  </si>
  <si>
    <t>RF-21</t>
  </si>
  <si>
    <t>El administrador registra entradas y salidas de stock de un producto; el sistema ajusta el stock en una transacción y rechaza dejarlo negativo. Los pedidos pagados descuentan stock directamente, sin crear un movimiento.</t>
  </si>
  <si>
    <t>Complementa la tienda; el administrador puede operar sin él cargando el stock en cada producto.</t>
  </si>
  <si>
    <t>Dado un producto con stock 3, cuando el administrador registra una salida de 5, el sistema responde INSUFFICIENT_STOCK y el stock queda en 3; una entrada de 10 lo lleva a 13. Verificable con una llamada a POST /store/movements (sin prueba automatizada).</t>
  </si>
  <si>
    <t>RF-22</t>
  </si>
  <si>
    <t>El administrador configura campañas automáticas (cumpleaños y hito de turno número N) y el sistema, una vez por día, envía por mail el descuento informado y registra el envío para no repetirlo; el descuento solo se informa, no se aplica solo en la reserva.</t>
  </si>
  <si>
    <t>Fidelización de clientas; no es parte del flujo de reserva.</t>
  </si>
  <si>
    <t>Dada una campaña de cumpleaños activa y una clienta que cumple años hoy (fecha de Argentina), cuando corre el job diario, la clienta recibe un mail y queda un registro único por año; si el job vuelve a correr el mismo día no se envía otro. Verificable con timezone-art › jobs diarios (3 casos de cumpleaños); el hito de turno N y la no repetición no tienen prueba.</t>
  </si>
  <si>
    <t>EXTRA: sin hallazgo. Función construida por la autora durante el desarrollo (commits 0be5ad5, 208457f y 1c90c9b, septiembre de 2026).</t>
  </si>
  <si>
    <t>Matriz de trazabilidad · requisito → componente que lo satisface (al estado de la etiqueta v1.3, rutas de nexa-backend y nexa-frontend)</t>
  </si>
  <si>
    <t>RF-23</t>
  </si>
  <si>
    <t>El administrador publica en el home un evento especial (servicio, profesional y fecha) que se oculta solo cuando pasa la fecha; la clienta lo reserva por el flujo normal.</t>
  </si>
  <si>
    <t>Requisito</t>
  </si>
  <si>
    <t>Da visibilidad a jornadas puntuales; no cambia las reglas de reserva.</t>
  </si>
  <si>
    <t>Componente del backend</t>
  </si>
  <si>
    <t>Componente del frontend</t>
  </si>
  <si>
    <t>Dado un evento activo con fecha de hoy, cuando son las 22:30 hora de Argentina, el evento sigue publicado; al día siguiente deja de mostrarse. Verificable con timezone-art › «un evento especial de hoy sigue publicado a las 22:30»; el alta y la edición no tienen prueba.</t>
  </si>
  <si>
    <t>appointments/appointment.service.ts (isSlotConflict, createForClient) e índice único parcial de la base (migración 20260826153839; recreado en 20261028160000)</t>
  </si>
  <si>
    <t>RF-24</t>
  </si>
  <si>
    <t>features/client/booking/BookingWizard.tsx y steps/DateTimeStep.tsx</t>
  </si>
  <si>
    <t>El sistema avisa a profesionales y clientas dentro de la aplicación y por mail de los hechos que les corresponden (turno nuevo, cancelado o reprogramado, servicio, producto o promoción nuevos); la profesional recibe el aviso de un turno nuevo recién cuando la seña está paga. No se envía ninguna notificación por WhatsApp.</t>
  </si>
  <si>
    <t>Reemplaza el aviso manual por WhatsApp que hoy hace el estudio y sostiene la coordinación de la agenda; no es indispensable para reservar.</t>
  </si>
  <si>
    <t>Dado un turno con seña por Mercado Pago, cuando el pago se aprueba, la profesional recibe un aviso «turno nuevo» y un mail, y no antes; en un combo recibe un solo aviso por grupo. Verificable con notifications.investigation (3 casos) y mail.provider.test; la lectura de las bandejas no tiene prueba.</t>
  </si>
  <si>
    <t>auth/dto/register.dto.ts, auth.service.ts y appointment.service.ts (estado «Pendiente de seña»)</t>
  </si>
  <si>
    <t>features/auth/components/RegisterForm.tsx, BookingWizard.tsx y steps/ConfirmationStep.tsx</t>
  </si>
  <si>
    <t>settings/settings.service.ts (cálculo de la seña) y payments/ (payment.service.ts, paidAmount.ts)</t>
  </si>
  <si>
    <t>booking/PaymentStep.tsx, pages/public/PaymentResultPage.tsx y pages/admin/settings/PaymentsSection.tsx</t>
  </si>
  <si>
    <t>RF-25</t>
  </si>
  <si>
    <t>La clienta califica de 1 a 5 un turno finalizado propio y puede dejar un comentario; el puntaje cuenta al instante y el comentario espera la aprobación del administrador antes de mostrarse; se admite una reseña por turno.</t>
  </si>
  <si>
    <t>appointments/appointment.service.ts (cancelación, devolución y retención) y settings.service.ts</t>
  </si>
  <si>
    <t>pages/client/AppointmentsPage.tsx y RefundWhatsAppModal.tsx</t>
  </si>
  <si>
    <t>Aporta confianza a nuevas clientas; no interviene en la reserva.</t>
  </si>
  <si>
    <t>Dado un turno finalizado, cuando la clienta envía 5 estrellas con comentario, el puntaje suma al promedio público y el comentario queda «pendiente» hasta que el administrador lo aprueba; un segundo envío para el mismo turno responde 409 ALREADY_REVIEWED. Verificable con llamadas a la API (sin prueba automatizada).</t>
  </si>
  <si>
    <t>jobs/autoNoShow.job.ts, jobs/scheduler.ts y migración 20261028160000 (estado cancelled_no_show)</t>
  </si>
  <si>
    <t>shared/utils/statusLabels.ts, app/data/shared/status.data.ts y pages/client/AppointmentsPage.tsx</t>
  </si>
  <si>
    <t>RF-26</t>
  </si>
  <si>
    <t>El administrador consulta el historial de turnos finalizados, cancelados y cancelados por inasistencia de cada clienta, con el motivo de la cancelación; la profesional consulta las clientas que atendió y sus visitas; el administrador consulta los turnos finalizados de cada profesional.</t>
  </si>
  <si>
    <t>appointments/appointment.service.ts (resolveProfessionalId)</t>
  </si>
  <si>
    <t>booking/BookingWizard.tsx y steps/ProviderStep.tsx</t>
  </si>
  <si>
    <t>Reemplaza la consulta en el cuaderno físico (H-04); no es necesario para reservar.</t>
  </si>
  <si>
    <t>Dada una clienta con un turno finalizado y otro cancelado con motivo, cuando el administrador abre su historial, ve ambos turnos con su estado y el motivo del segundo; cuando una profesional que la atendió abre «Clientas», la ve en su lista. Verificable con GET /admin/clients/:id/history y GET /professional/clients (este último con allergies.consent-visibility); el contenido del historial no tiene prueba.</t>
  </si>
  <si>
    <t>appointments/appointment.controller.ts (detailsSchema), appointment.service.ts (updateDetailsForClient) y admin/admin.service.ts (rechazo de cambios de alergias)</t>
  </si>
  <si>
    <t>features/client/booking/PostBookingDetails.tsx</t>
  </si>
  <si>
    <t>RF-27</t>
  </si>
  <si>
    <t>El administrador consulta un registro de actividad con fecha y hora, usuario, módulo, nivel y detalle de lo que ocurre en el sistema (turnos, pagos, clientas, tienda, jobs y reseñas); registrar un evento nunca interrumpe la operación.</t>
  </si>
  <si>
    <t>Es la pantalla que muestra el registro que exige RNF-05; sin ella la auditoría no es consultable.</t>
  </si>
  <si>
    <t>auth/auth.service.ts, auth.repository.ts y schema.prisma (termsAcceptedAt, termsVersion)</t>
  </si>
  <si>
    <t>Dado un cambio de estado de un turno hecho por la profesional, cuando el administrador abre el registro de actividad, ve una entrada con la fecha, el usuario y el nuevo estado. Verificable con appointments.status-log; la pantalla GET /admin/activity no tiene prueba.</t>
  </si>
  <si>
    <t>features/auth/components/RegisterForm.tsx y pages/public/PrivacyPolicyPage.tsx</t>
  </si>
  <si>
    <t>admin/admin.routes.ts, admin.controller.ts y admin.service.ts (anonymizeClient)</t>
  </si>
  <si>
    <t>pages/admin/clients/ClientDetail.tsx (botón «Anonimizar datos»)</t>
  </si>
  <si>
    <t>RF-28</t>
  </si>
  <si>
    <t>El administrador administra una galería de fotos antes y después por clienta, con opción de mostrarlas en el home, y el sistema cuenta las visitas de cada clienta; los puntos de fidelización los ajusta el administrador a mano.</t>
  </si>
  <si>
    <t>Apoyo comercial y de fidelización; no interviene en la reserva.</t>
  </si>
  <si>
    <t>Dada una clienta con 3 turnos no cancelados, cuando el administrador abre su ficha, ve 3 visitas; los puntos de fidelización solo cambian si el administrador los edita. Verificable en la ficha de la clienta (sin prueba automatizada).</t>
  </si>
  <si>
    <t>appointments/appointment.service.ts (createCombo, comboGroupId)</t>
  </si>
  <si>
    <t>booking/ComboBookingFlow.tsx y steps/ServiceStep.tsx</t>
  </si>
  <si>
    <t>RF-29</t>
  </si>
  <si>
    <t>modules/services/ (service.model.ts, service.controller.ts, service.routes.ts)</t>
  </si>
  <si>
    <t>El administrador da de alta profesionales por invitación (enlace de un solo uso que vence a los 7 días), las activa o desactiva (al desactivar se cierran sus sesiones) y cambia su rol entre profesional y administradora; cada profesional completa su perfil, los servicios que ofrece con precio y duración propios, sus franjas semanales y sus vacaciones.</t>
  </si>
  <si>
    <t>pages/admin/services/ServicesPage.tsx y ServiceFormModal.tsx</t>
  </si>
  <si>
    <t>Sin profesionales y franjas cargadas no hay reservas posibles; es la base de RF-01 y RF-06, pero no integra el MVP original.</t>
  </si>
  <si>
    <t>Dada una invitación ya usada o vencida, cuando alguien intenta registrarse con ese enlace, el sistema lo rechaza; con una invitación vigente crea la cuenta y la invitación queda usada; una profesional desactivada no puede renovar su sesión. Verificable con auth.minor-fixes (7 casos de invitación y 7 de cambio de rol) y auth.sessions; el perfil, los servicios y las franjas no tienen prueba.</t>
  </si>
  <si>
    <t>app/constants/companion.ts, detailsSchema y migración 20261006122000</t>
  </si>
  <si>
    <t>shared/utils/companion.ts y PostBookingDetails.tsx</t>
  </si>
  <si>
    <t>RF-30</t>
  </si>
  <si>
    <t>El sistema envía por mail un recordatorio a la clienta que lleva 60 días o más sin turno (o que está registrada hace 60 días o más y nunca tuvo uno), si no está bloqueada, con un intervalo mínimo de 60 días entre envíos.</t>
  </si>
  <si>
    <t>API de reservas (appointment.service.ts); la medición está pendiente</t>
  </si>
  <si>
    <t>BookingWizard.tsx; evidencia parcial en 05-entregas/evidencia-RNF-01/</t>
  </si>
  <si>
    <t>Recupera clientas inactivas; no afecta al flujo de reserva.</t>
  </si>
  <si>
    <t>Dada una clienta sin turnos hace 61 días y sin recordatorio previo, cuando corre el job diario de las 9:00 (hora de Argentina), recibe un mail; si el job corre al día siguiente no recibe otro. Verificable ejecutando runInactivityReminderJob (sin prueba automatizada identificada).</t>
  </si>
  <si>
    <t>No aplica: el sistema se usa solo desde el navegador</t>
  </si>
  <si>
    <t>Aplicación web React con Vite, sin instalación</t>
  </si>
  <si>
    <t>RF-31</t>
  </si>
  <si>
    <t>appointments/appointment.service.ts (listForProfessional, listClientsForProfessional) y professionals/professional.routes.ts (requireRole)</t>
  </si>
  <si>
    <t>La clienta completa después de reservar los detalles del servicio de su turno (por ejemplo diseño de uñas, largo de cabello o tipo de piel) y el administrador registra el retiro de esmalte como dato informativo con sus reglas de precio.</t>
  </si>
  <si>
    <t>features/professional/agenda/dialogs/AppointmentDialog.tsx y features/professional/clients/components/ClientDetail.tsx</t>
  </si>
  <si>
    <t>Reduce la consulta verbal previa al servicio (H-13); solo la alergia y el acompañante tienen requisito propio (RF-07 y RF-12).</t>
  </si>
  <si>
    <t>Dado un turno de uñas con retiro de esmalte registrado por el administrador, cuando se abre el turno, se ve la etiqueta y el precio del retiro según las reglas de Configuración; el dato es informativo. Verificable con polish-removal (5 casos); la carga de los detalles por la clienta no tiene prueba propia.</t>
  </si>
  <si>
    <t>schema.prisma (solo mpPaymentId) y payments/payment.service.ts</t>
  </si>
  <si>
    <t>booking/PaymentStep.tsx (redirige a Mercado Pago)</t>
  </si>
  <si>
    <t>RF-32</t>
  </si>
  <si>
    <t>El administrador configura los datos del negocio (nombre, logo, contacto y políticas), el horario semanal, los feriados y la seña (monto fijo o porcentaje, horas de cancelación y política de devolución).</t>
  </si>
  <si>
    <t>appointments/appointment.service.ts (logStatusChange), activity/activity.service.ts y admin.service.ts</t>
  </si>
  <si>
    <t>Sostiene RF-03 y RF-04, que dependen de la seña y del plazo configurados; no integra el MVP original.</t>
  </si>
  <si>
    <t>pages/admin/activity/ActivityPage.tsx</t>
  </si>
  <si>
    <t>Dada una seña configurada en $5.000, cuando el administrador la cambia a $3.000, el siguiente turno reservado calcula una seña de $3.000. Verificable con appointments.booking (seña de $2.000 y seña 0); el modo porcentaje y PATCH /settings/payments no tienen prueba.</t>
  </si>
  <si>
    <t>RF-33</t>
  </si>
  <si>
    <t>El sitio permite a una visitante enviar su interés por trabajar en el estudio; el sistema deja una entrada «Nueva postulación» en el registro de actividad.</t>
  </si>
  <si>
    <t>Canal de contacto laboral; no tiene relación con la reserva.</t>
  </si>
  <si>
    <t>Dado el formulario de postulación del sitio, cuando una visitante lo envía, aparece en el registro de actividad una entrada del módulo «jobs» con la acción «Nueva postulación»; no se guarda ningún otro dato. Sin prueba automatizada.</t>
  </si>
  <si>
    <t>RF-34</t>
  </si>
  <si>
    <t>El administrador ve un panel con indicadores del negocio calculados por el sistema y cada profesional ve su panel y sus estadísticas.</t>
  </si>
  <si>
    <t>Da información de gestión a la propietaria; no es parte del flujo de reserva.</t>
  </si>
  <si>
    <t>Dado un período con turnos finalizados, cuando el administrador abre el panel, los indicadores de turnos coinciden con el listado de turnos del mismo período. Verificable comparando el panel con GET /admin/appointments (sin prueba automatizada).</t>
  </si>
  <si>
    <t>RNF-06</t>
  </si>
  <si>
    <t>El sistema no envía datos personales, de contacto ni de salud al servicio de monitoreo de errores (Sentry): borra cookies, cuerpo, query string, cabeceras sensibles, correo e IP del usuario, los correos dentro de los mensajes, el texto de las consultas de Prisma, los breadcrumbs, los campos extra, los contextos ajenos al SDK y las variables locales de los stack frames. Quedan fuera del alcance las trazas de rendimiento y los console.error o throw propios con datos clínicos en texto libre.</t>
  </si>
  <si>
    <t>Evita que una alergia llegue a un tercero a través de un mensaje de error, protegiendo el dato que RF-07 y RNF-03 resguardan; no bloquea la operación diaria.</t>
  </si>
  <si>
    <t>Dado un error de Prisma cuya consulta contiene allergies: «penicilina y látex», cuando Sentry lo recibe, el evento enviado no contiene ese texto ni ningún correo electrónico. Verificable con sentry.scrub.test.ts.</t>
  </si>
  <si>
    <t>H-14. Base legal: Ley N.º 25.326 (protección del dato de alergias).</t>
  </si>
  <si>
    <t>RNF-07</t>
  </si>
  <si>
    <t>El sistema autentica con cookies httpOnly (el token no queda accesible a JavaScript), renueva las sesiones con rotación, admite hasta 10 sesiones por usuaria, limita los intentos de ingreso, rechaza pedidos de origen no confiable (CSRF) y cierra todas las sesiones de una usuaria al desactivarla o anonimizarla.</t>
  </si>
  <si>
    <t>Condición transversal de todos los requisitos con datos personales; no integra el MVP original, que no definió la autenticación como requisito propio.</t>
  </si>
  <si>
    <t>Dado un navegador con sesión activa, cuando una página ejecuta JavaScript que lee las cookies, no encuentra el token de acceso; una usuaria desactivada no puede renovar ninguna sesión; una profesional que pide una ruta de administración es rechazada. Verificable con auth.security, auth.sessions, auth.test y hardening (ADR-003).</t>
  </si>
  <si>
    <t>EXTRA: sin hallazgo. Base legal: Ley N.º 25.326, art. 9 (seguridad de los datos).</t>
  </si>
  <si>
    <t>RNF-08</t>
  </si>
  <si>
    <t>Toda decisión que depende de la hora (tolerancia de 20 minutos, corte de 12 horas, jobs diarios, vigencia de eventos y promociones, «hoy») se calcula en la hora de Argentina (America/Argentina/Buenos_Aires) y no en la del servidor.</t>
  </si>
  <si>
    <t>Fiabilidad</t>
  </si>
  <si>
    <t>Sin esto RF-04 y RF-05 fallarían según dónde corra el servidor; no integra el MVP original.</t>
  </si>
  <si>
    <t>Dado un turno a las 18:00, cuando faltan 12 horas y media reales, la cancelación devuelve la seña; con menos de 12 horas reales no la devuelve; un evento especial de hoy sigue publicado a las 22:30. Verificable con timezone-art.</t>
  </si>
  <si>
    <t>H-09, H-10 (plazos de 12 horas y de 20 minutos).</t>
  </si>
  <si>
    <t>RNF-09</t>
  </si>
  <si>
    <t>El sistema acepta los avisos de Mercado Pago solo con firma válida (HMAC-SHA256), los procesa una sola vez aunque lleguen repetidos y solo registra el pago si el monto y la moneda son los esperados; un pago con monto menor o en otra moneda no se registra y deja un aviso de error.</t>
  </si>
  <si>
    <t>Protege el cobro de la seña (RF-03) frente a avisos falsos, duplicados o por un monto distinto; no integra el MVP original.</t>
  </si>
  <si>
    <t>Dado un pago aprobado por un monto menor al de la seña, cuando llega el aviso, el turno sigue sin seña pagada y aparece un aviso de nivel error en la actividad; dos avisos simultáneos del mismo pago generan una sola notificación. Verificable con payments.webhook-amount y payments.webhook-idempotency; la verificación de la firma no tiene prueba.</t>
  </si>
  <si>
    <t>H-08. Soporte técnico de RF-03 y RNF-04.</t>
  </si>
  <si>
    <t>RNF-10</t>
  </si>
  <si>
    <t>El código se verifica con pruebas automatizadas y chequeo de tipos que corren en cada propuesta de cambio mediante el canal de integración continua.</t>
  </si>
  <si>
    <t>Mantenibilidad</t>
  </si>
  <si>
    <t>Sostiene todos los requisitos ante cambios futuros; es condición de cómputo de la entrega (ejecutabilidad del repositorio).</t>
  </si>
  <si>
    <t>Dado el repositorio al 30/10/2026, cuando se ejecuta npm test en el backend, pasan 32 archivos y 310 tests y en el frontend 80 tests; el canal de GitHub Actions corre en cada cambio. Verificable en la última corrida del canal.</t>
  </si>
  <si>
    <t>EXTRA: sin hallazgo. Condición de cómputo de la entrega (consigna AE2 y AE4).</t>
  </si>
  <si>
    <t>Registro de reglas de negocio · Instrumento 29</t>
  </si>
  <si>
    <t>Regla y requisito derivado deben citar la misma fuente: esa coincidencia es la trazabilidad que la dimensión 1 de la rúbrica verifica.</t>
  </si>
  <si>
    <t>Código</t>
  </si>
  <si>
    <t>Enunciado verificable</t>
  </si>
  <si>
    <t>Fuente</t>
  </si>
  <si>
    <t>Estado</t>
  </si>
  <si>
    <t>Requisito derivado (ID)</t>
  </si>
  <si>
    <t>R-01</t>
  </si>
  <si>
    <t>Restricción</t>
  </si>
  <si>
    <t>No se puede confirmar la reserva de un turno si la profesional seleccionada ya tiene otro turno activo (no cancelado ni cancelado por inasistencia) el mismo día y a la misma hora de inicio, dentro de las franjas de atención que ella define.</t>
  </si>
  <si>
    <t>Cap. I.3, primer requisito derivado; Cap. II.6, conclusiones del relevamiento Constancia escrita de Loren del 30/10/2026 (pregunta 3 del formulario).</t>
  </si>
  <si>
    <t>Validada</t>
  </si>
  <si>
    <t>R-02</t>
  </si>
  <si>
    <t>Si la cancelación se notifica con menos de 12 horas de anticipación al turno, o ante inasistencia (no-show), la seña queda retenida en su totalidad; con 12 horas o más, corresponde la devolución total.</t>
  </si>
  <si>
    <t>Cap. I.6, módulos funcionales Constancia escrita de Loren del 30/10/2026 (pregunta 5 del formulario).</t>
  </si>
  <si>
    <t>R-03</t>
  </si>
  <si>
    <t>Si transcurren más de 20 minutos desde el horario pactado sin que la clienta se presente, el turno pasa automáticamente al estado «Cancelado por inasistencia» y el horario queda disponible para reasignarse.</t>
  </si>
  <si>
    <t>Cap. I.6; Cap. II.3, tolerancia de llegada Constancia escrita de Loren del 30/10/2026 (pregunta 6 del formulario).</t>
  </si>
  <si>
    <t>R-04</t>
  </si>
  <si>
    <t>Derivación</t>
  </si>
  <si>
    <t>Cuando la clienta no indica preferencia por una profesional, el sistema asigna automáticamente el turno entre las profesionales activas, habilitadas para el servicio, con disponibilidad ese día y hora y sin otro turno activo a esa hora de inicio. Elige la que registre menos turnos no cancelados ni no-show en la semana de la fecha pedida (lunes a domingo); a igual cantidad, la de mayor antigüedad. Si ninguna está libre, informa que el horario no está disponible.</t>
  </si>
  <si>
    <t>Cap. I.6, módulos funcionales; implementada en resolveProfessionalId (appointment.service.ts), commit c12671b. Hoy Loren asigna por antigüedad (Bitácora, entrada del 02/09/2026); la regla de menor carga semanal con desempate por antigüedad fue aceptada por escrito por Loren el 30/10/2026 (pregunta 4 del formulario; ver la fila «Aprobación del catálogo por Loren» de la hoja Reuniones y datos). En el código, «antigüedad» es la fecha de alta del perfil de la profesional en Nexa.</t>
  </si>
  <si>
    <t>R-05</t>
  </si>
  <si>
    <t>El sistema no guarda ningún dato de alergias o sensibilidad de piel de la clienta sin su consentimiento explícito y diferenciado para ese campo. Solo la clienta puede cargar sus alergias; la propietaria y las profesionales no pueden cargarlas ni modificarlas.</t>
  </si>
  <si>
    <t>Cap. I.6 y I.7, cumplimiento de la Ley N.º 25.326 Constancia escrita de Loren del 30/10/2026 (pregunta 8 del formulario).</t>
  </si>
  <si>
    <t>R-06</t>
  </si>
  <si>
    <t>Existencia</t>
  </si>
  <si>
    <t>Toda reserva de un turno para una clienta menor de 13 años debe quedar asociada a la gestión de una madre, padre o tutor legal; el sistema registra solo la condición de acompañante y su vínculo, sin datos identificatorios de la menor.</t>
  </si>
  <si>
    <t>Cap. I.7, atención de menores y registro de acompañantes Constancia escrita de Loren del 30/10/2026 (pregunta 9 del formulario).</t>
  </si>
  <si>
    <t>R-07</t>
  </si>
  <si>
    <t>El monto de la seña lo define la propietaria en Configuración, como un monto fijo en pesos o como un porcentaje del valor del servicio (hoy $5.000 ARS). Para una reserva con servicios simultáneos de profesionales distintas (combo) se cobra una sola seña, que vale para todos los servicios y todas las profesionales.</t>
  </si>
  <si>
    <t>Cap. II.3, condiciones financieras y señas; Anexo I; Configuración del sistema (valor que fija la propietaria). Constancia escrita de Loren del 30/10/2026 (pregunta 7 del formulario).</t>
  </si>
  <si>
    <t>R-08</t>
  </si>
  <si>
    <t>Una clienta bloqueada por el administrador no puede reservar turnos ni comprar productos.</t>
  </si>
  <si>
    <t>Código del backend leído el 30/10/2026 (insumos de Claude Code). assertClientNotBlocked.</t>
  </si>
  <si>
    <t>R-09</t>
  </si>
  <si>
    <t>Un turno de combo se cancela entero cuando cancela el personal; cuando cancela la clienta se cancela solo esa pata, y la devolución de la seña se evalúa solo en la última pata activa. Un turno de combo no se reprograma.</t>
  </si>
  <si>
    <t>Código del backend leído el 30/10/2026 (insumos de Claude Code). cancelWithGroup, cancelForClient y rescheduleForClient.</t>
  </si>
  <si>
    <t>RF-10, RF-13</t>
  </si>
  <si>
    <t>R-10</t>
  </si>
  <si>
    <t>La clienta solo puede reprogramar un turno propio pendiente o confirmado, sin ser combo, dentro de las franjas de la profesional y a un horario que no tenga otro turno activo de la misma profesional.</t>
  </si>
  <si>
    <t>Código del backend leído el 30/10/2026 (insumos de Claude Code). rescheduleForClient.</t>
  </si>
  <si>
    <t>R-11</t>
  </si>
  <si>
    <t>Un turno con seña por Mercado Pago que no se paga dentro del plazo de 20 minutos se cancela solo y libera el horario; un turno con seña coordinada por WhatsApp no se libera.</t>
  </si>
  <si>
    <t>Código del backend leído el 30/10/2026 (insumos de Claude Code). runReleaseUnpaidAppointmentsJob.</t>
  </si>
  <si>
    <t>R-12</t>
  </si>
  <si>
    <t>Un pago aprobado de Mercado Pago con un monto menor al esperado o en otra moneda no se registra y deja un aviso de nivel error en la actividad; un mismo pago se procesa una sola vez aunque el aviso llegue repetido.</t>
  </si>
  <si>
    <t>Código del backend leído el 30/10/2026 (insumos de Claude Code). isPaymentAcceptable y applyPaymentResult.</t>
  </si>
  <si>
    <t>R-13</t>
  </si>
  <si>
    <t>El stock de un producto no puede quedar negativo: un pedido por más unidades que el stock y una salida de inventario mayor al stock se rechazan. El stock de un pedido se descuenta recién cuando el pago se aprueba.</t>
  </si>
  <si>
    <t>Código del backend leído el 30/10/2026 (insumos de Claude Code). order.service.ts e inventoryMovement.model.ts.</t>
  </si>
  <si>
    <t>RF-19, RF-21</t>
  </si>
  <si>
    <t>R-14</t>
  </si>
  <si>
    <t>El puntaje de una reseña cuenta al instante; el comentario nace aprobado si no hay texto y pendiente si lo hay, hasta que el administrador lo aprueba. Solo se reseñan turnos finalizados propios y una vez por turno.</t>
  </si>
  <si>
    <t>Código del backend leído el 30/10/2026 (insumos de Claude Code). review.service.ts › createForClient.</t>
  </si>
  <si>
    <t>R-15</t>
  </si>
  <si>
    <t>Toda promoción tiene una ventana de vigencia (fecha de inicio y de fin, en hora de Argentina) y el precio se recalcula en el servidor al reservar o comprar: el precio que envía el navegador no se usa.</t>
  </si>
  <si>
    <t>Código del backend leído el 30/10/2026 (insumos de Claude Code). resolveServicePromotion y promotion.model.ts › findActive.</t>
  </si>
  <si>
    <t>R-16</t>
  </si>
  <si>
    <t>El aviso y el mail de un turno nuevo a la profesional se envían recién cuando la seña está paga o cuando el turno no la requiere; mientras la reserva es provisoria no se avisa a nadie.</t>
  </si>
  <si>
    <t>Código del backend leído el 30/10/2026 (insumos de Claude Code). afterCreate y applyPaymentResult.</t>
  </si>
  <si>
    <t>R-17</t>
  </si>
  <si>
    <t>Una campaña de cumpleaños se envía una vez por año a cada clienta y la de hito de turno una sola vez; el descuento solo se informa en el mail y no se aplica solo en la reserva ni en el pedido.</t>
  </si>
  <si>
    <t>Código del backend leído el 30/10/2026 (insumos de Claude Code). runAutoPromotionsJob y AutoPromotionSend.</t>
  </si>
  <si>
    <t>R-18</t>
  </si>
  <si>
    <t>Una invitación para profesionales es de un solo uso y vence a los 7 días; no pisa una cuenta administradora ni una cuenta inactiva. Al desactivar una cuenta se cierran todas sus sesiones.</t>
  </si>
  <si>
    <t>Código del backend leído el 30/10/2026 (insumos de Claude Code). invitation.service.ts y professional.service.ts › toggleActive.</t>
  </si>
  <si>
    <t>RF-29, RNF-07</t>
  </si>
  <si>
    <t>R-19</t>
  </si>
  <si>
    <t>La anonimización de una clienta no borra su fila ni sus turnos: conserva el historial de turnos y pagos exigido por obligaciones contables y fiscales, deja la cuenta inactiva y cierra sus sesiones.</t>
  </si>
  <si>
    <t>Código del backend leído el 30/10/2026 (insumos de Claude Code). anonymizeClient. Criterio de conservar el historial: guía técnica de la autora.</t>
  </si>
  <si>
    <t>R-20</t>
  </si>
  <si>
    <t>Toda decisión que depende de la hora (tolerancia de 20 minutos, corte de 12 horas, jobs diarios y vigencias) se evalúa en la hora de Argentina (America/Argentina/Buenos_Aires).</t>
  </si>
  <si>
    <t>Código del backend leído el 30/10/2026 (insumos de Claude Code). argentinaTime.ts y scheduler.ts.</t>
  </si>
  <si>
    <t>R-21</t>
  </si>
  <si>
    <t>La alergia declarada en un turno solo la ven la profesional asignada a ese turno, la propia clienta y la propietaria; una profesional que nunca atendió a la clienta no ve ninguna alergia.</t>
  </si>
  <si>
    <t>Código del backend leído el 30/10/2026 (insumos de Claude Code). toProfessionalView y listClientsForProfessional (ver la brecha de RNF-03).</t>
  </si>
  <si>
    <t>R-22</t>
  </si>
  <si>
    <t>R-23</t>
  </si>
  <si>
    <t>Límites del proyecto · apartado III.4 del informe</t>
  </si>
  <si>
    <t>R-24</t>
  </si>
  <si>
    <t>R-25</t>
  </si>
  <si>
    <t>Seis exclusiones declaradas por escrito. Una exclusión decidida sin el referente es una hipótesis; validada y con acta, es una frontera real.</t>
  </si>
  <si>
    <t>R-26</t>
  </si>
  <si>
    <t>R-27</t>
  </si>
  <si>
    <t>R-28</t>
  </si>
  <si>
    <t>Qué queda fuera</t>
  </si>
  <si>
    <t>Motivo</t>
  </si>
  <si>
    <t>Quién lo valida</t>
  </si>
  <si>
    <t>R-29</t>
  </si>
  <si>
    <t>R-30</t>
  </si>
  <si>
    <t>L-01</t>
  </si>
  <si>
    <t>R-31</t>
  </si>
  <si>
    <t>Facturación electrónica y módulo contable completo</t>
  </si>
  <si>
    <t>Excede el alcance formativo de un Proyecto Integrador Final individual.</t>
  </si>
  <si>
    <t>Loren (referente)</t>
  </si>
  <si>
    <t>Validado en la sesión del prototipo v0 (28/08/2026)</t>
  </si>
  <si>
    <t>Cap. I.6, exclusiones declaradas</t>
  </si>
  <si>
    <t>R-32</t>
  </si>
  <si>
    <t>L-02</t>
  </si>
  <si>
    <t>Liquidación de la comisión entre el estudio y las profesionales (el 80/20 que Loren calcula hoy)</t>
  </si>
  <si>
    <t>R-33</t>
  </si>
  <si>
    <t>El sistema no tiene ninguna regla, módulo contable ni de liquidación de comisiones: Loren lo sigue haciendo fuera de Nexa. Queda para una etapa futura.</t>
  </si>
  <si>
    <t>Validado: queda para una etapa futura. Confirmado por escrito el 30/10/2026 (pregunta 10 del formulario).</t>
  </si>
  <si>
    <t>Cap. II.3, variabilidad de ingresos y esquemas de prestación</t>
  </si>
  <si>
    <t>R-34</t>
  </si>
  <si>
    <t>L-03</t>
  </si>
  <si>
    <t>Chatbot de WhatsApp y reserva por WhatsApp</t>
  </si>
  <si>
    <t>No hay chatbot de WhatsApp ni se va a desarrollar. La reserva se hace solo por la web; WhatsApp se usa como enlace de contacto, para coordinar el pago de la seña y para avisar de una devolución.</t>
  </si>
  <si>
    <t>Cap. I.6, exclusiones declaradas; Anexo II</t>
  </si>
  <si>
    <t>R-35</t>
  </si>
  <si>
    <t>L-04</t>
  </si>
  <si>
    <t>R-36</t>
  </si>
  <si>
    <t>Panel de administración SaaS multi-tenant centralizado</t>
  </si>
  <si>
    <t>La arquitectura es de instancia única duplicable (ADR-001); el panel centralizado no se construye en esta etapa.</t>
  </si>
  <si>
    <t>Autora</t>
  </si>
  <si>
    <t>Decisión de arquitectura de la autora (ADR-001)</t>
  </si>
  <si>
    <t>Anexo III, ADR-001</t>
  </si>
  <si>
    <t>L-05</t>
  </si>
  <si>
    <t>Tratamiento de alergias y piel sensible como dato de salud</t>
  </si>
  <si>
    <t>Se limita a una advertencia operativa del servicio, no a historia clínica, para acotar el régimen de responsabilidad (RNF-03).</t>
  </si>
  <si>
    <t>Cap. I.7; Anexo II</t>
  </si>
  <si>
    <t>L-06</t>
  </si>
  <si>
    <t>Talleres y capacitaciones</t>
  </si>
  <si>
    <t>El sistema no tiene talleres en esta etapa y se dejan para una etapa futura. La seña es única y la define la propietaria en Configuración.</t>
  </si>
  <si>
    <t>Validado: queda para una etapa futura. Confirmado por escrito el 30/10/2026 (pregunta 11 del formulario).</t>
  </si>
  <si>
    <t>L-07</t>
  </si>
  <si>
    <t>Anonimización de alergias, preferencias, observaciones, notas, fecha de nacimiento, consentimientos y fotos de la clienta, y de los datos de contacto de sus pedidos y de sus reseñas</t>
  </si>
  <si>
    <t>Hoy la anonimización solo cubre nombre, apellido, email y teléfono; el código lo deja como decisión pendiente. Si la autora no amplía el código antes de congelar la versión, este límite se declara y se explica.</t>
  </si>
  <si>
    <t>Loren (referente) y autora</t>
  </si>
  <si>
    <t>Pendiente: decidir si se amplía la anonimización</t>
  </si>
  <si>
    <t>Código del backend leído el 30/10/2026 (insumos de Claude Code). anonymizeClient; hoja Código y pruebas, RF-09.</t>
  </si>
  <si>
    <t>L-08</t>
  </si>
  <si>
    <t>Devolución real del dinero de la seña por Mercado Pago</t>
  </si>
  <si>
    <t>El sistema marca la seña como devuelta pero no ejecuta ninguna devolución en la pasarela; el reintegro se coordina fuera del sistema.</t>
  </si>
  <si>
    <t>Pendiente de validación</t>
  </si>
  <si>
    <t>Código del backend leído el 30/10/2026 (insumos de Claude Code). cancelWithGroup; hoja Código y pruebas, RF-04.</t>
  </si>
  <si>
    <t>L-09</t>
  </si>
  <si>
    <t>Recordatorio de turno a la clienta (mail, SMS o WhatsApp)</t>
  </si>
  <si>
    <t>No existe ningún job que avise a la clienta de un turno próximo. Los tipos de aviso definidos para eso nunca se emiten. WhatsApp automatizado está excluido por L-03.</t>
  </si>
  <si>
    <t>Código del backend leído el 30/10/2026 (insumos de Claude Code). Sección 4.5; hoja Código y pruebas, RF-24.</t>
  </si>
  <si>
    <t>L-10</t>
  </si>
  <si>
    <t>Aplicación automática del descuento de las campañas automáticas en la reserva o el pedido</t>
  </si>
  <si>
    <t>El descuento solo se informa en el mail de la campaña; no hay cupón ni código que se aplique solo.</t>
  </si>
  <si>
    <t>Decisión de la autora</t>
  </si>
  <si>
    <t>Código del backend leído el 30/10/2026 (insumos de Claude Code). autoPromotions.job.ts; hoja Código y pruebas, RF-22.</t>
  </si>
  <si>
    <t>Glosario del dominio · Instrumento 30</t>
  </si>
  <si>
    <t>Vocabulario normativo del informe completo y, más adelante, de las tablas del sistema. La entrada más valiosa es la del término en disputa: el que dos personas de la organización usan distinto.</t>
  </si>
  <si>
    <t>Término (como lo usa la organización)</t>
  </si>
  <si>
    <t>Definición operativa (una o dos oraciones)</t>
  </si>
  <si>
    <t>Sinónimos y falsos amigos detectados</t>
  </si>
  <si>
    <t>Fuente (quién lo usa así)</t>
  </si>
  <si>
    <t>¿En disputa?</t>
  </si>
  <si>
    <t>Reserva de un bloque horario de un servicio con una profesional para una clienta determinada.</t>
  </si>
  <si>
    <t>En el informe y las entrevistas se usa indistintamente «turno» y «reserva»; no se relevó el término «cita», aunque podría aparecer en otros estudios del rubro.</t>
  </si>
  <si>
    <t>Cap. I.1, I.5 y II.3</t>
  </si>
  <si>
    <t>Pago parcial que la clienta abona para reservar el turno, como garantía de la reserva. Su monto lo define la propietaria en Configuración (en pesos o como porcentaje del servicio; hoy $5.000). Se paga con Mercado Pago (hoy en modo prueba, con tarjeta de prueba) o se coordina por WhatsApp; el turno queda confirmado aunque la seña esté pendiente, hasta que se acredita o la propietaria la marca como pagada. En una reserva con servicios simultáneos se cobra una sola seña.</t>
  </si>
  <si>
    <t>El Anexo I usa además «anticipo» para referirse al mismo concepto; el Anexo II usa «seña obligatoria».</t>
  </si>
  <si>
    <t>Cap. I.6, II.3 y Anexo I</t>
  </si>
  <si>
    <t>No-show</t>
  </si>
  <si>
    <t>Inasistencia de la clienta al turno sin aviso previo, más allá de la tolerancia de 20 minutos, que determina la retención total de la seña.</t>
  </si>
  <si>
    <t>El informe usa «inasistencia» y «no-show» como sinónimos exactos.</t>
  </si>
  <si>
    <t>Advertencia operativa</t>
  </si>
  <si>
    <t>Dato de alergia o sensibilidad de piel de la clienta, registrado para uso técnico de la profesional durante la prestación, expresamente diferenciado de un dato de salud o historia clínica.</t>
  </si>
  <si>
    <t>No debe confundirse con «dato de salud» en el sentido de la Ley N.º 25.326; el informe hace explícita esta distinción para acotar el riesgo legal.</t>
  </si>
  <si>
    <t>Cap. I.6, I.7 y II.5</t>
  </si>
  <si>
    <t>Instancia dedicada (single-tenant)</t>
  </si>
  <si>
    <t>Arquitectura en la que cada estudio cliente de Kologic opera en su propio entorno y base de datos independiente, sin compartir infraestructura con otros clientes.</t>
  </si>
  <si>
    <t>La Bitácora registra que el proyecto arrancó pensado como «multi-tenant SaaS» y fue reemplazado por este modelo; ambos términos aparecen en distintos documentos según la etapa del proyecto.</t>
  </si>
  <si>
    <t>Resumen del informe; Anexo III, ADR-001</t>
  </si>
  <si>
    <t>Responsable / Encargado del Tratamiento</t>
  </si>
  <si>
    <t>Roles definidos por el Art. 25 de la Ley N.º 25.326: Loren es la Responsable (titular que determina la finalidad de los datos); Kologic es la Encargada (provee la infraestructura sin fines propios sobre esos datos).</t>
  </si>
  <si>
    <t>—</t>
  </si>
  <si>
    <t>Cap. I.7</t>
  </si>
  <si>
    <t>Reuniones con la referente y datos del relevamiento</t>
  </si>
  <si>
    <t>Fechas y valores del relevamiento de la AE1 y de las reuniones posteriores, para que el informe, la bitácora y el libro cuenten lo mismo.</t>
  </si>
  <si>
    <t>Reunión o dato</t>
  </si>
  <si>
    <t>Fecha o valor</t>
  </si>
  <si>
    <t>Detalle</t>
  </si>
  <si>
    <t>Reunión de relevamiento del problema</t>
  </si>
  <si>
    <t>Junio de 2026</t>
  </si>
  <si>
    <t>Reunión sencilla, solo para conocer el problema que tenía Loren.</t>
  </si>
  <si>
    <t>Recursos, categoría 1</t>
  </si>
  <si>
    <t>Entrevistas y toma de datos</t>
  </si>
  <si>
    <t>26/08/2026</t>
  </si>
  <si>
    <t>Entrevista de 45 minutos a Loren y entrevista de 20 minutos a una profesional; observación directa de la agenda de papel.</t>
  </si>
  <si>
    <t>Cap. II.2 y II.3</t>
  </si>
  <si>
    <t>Muestra del prototipo v0</t>
  </si>
  <si>
    <t>28/08/2026</t>
  </si>
  <si>
    <t>Validación del prototipo de baja fidelidad con Loren.</t>
  </si>
  <si>
    <t>Muestra de la versión desplegada en producción y aprobación</t>
  </si>
  <si>
    <t>28/09/2026</t>
  </si>
  <si>
    <t>Reunión presencial: se mostró toda la página (versión desplegada en producción) y Loren no pidió ningún cambio. Acta del 28/09. Según la confirmación escrita del 30/10/2026, la reunión duró más o menos 60 minutos y Loren no pidió cambios (preguntas 1 y 2).</t>
  </si>
  <si>
    <t>Acta de la sesión de validación</t>
  </si>
  <si>
    <t>Período del registro manual analizado</t>
  </si>
  <si>
    <t>Noviembre de 2025 a julio de 2026</t>
  </si>
  <si>
    <t>Se vieron los chats de WhatsApp y la agenda de papel.</t>
  </si>
  <si>
    <t>Chat que muestra la superposición</t>
  </si>
  <si>
    <t>24/11/2025</t>
  </si>
  <si>
    <t>Conversación de WhatsApp de Loren con una clienta en la que se superpusieron los turnos.</t>
  </si>
  <si>
    <t>Fecha de creación de Loren Estudio de Belleza</t>
  </si>
  <si>
    <t>01/09/2025</t>
  </si>
  <si>
    <t>Apertura del estudio.</t>
  </si>
  <si>
    <t>Cap. I.1</t>
  </si>
  <si>
    <t>Horario de atención</t>
  </si>
  <si>
    <t>Lunes a sábado, de 8:00 a 20:00</t>
  </si>
  <si>
    <t>Horario general del estudio; cada profesional define las franjas en que atiende.</t>
  </si>
  <si>
    <t>Plazo para cancelar y recibir la devolución de la seña</t>
  </si>
  <si>
    <t>12 horas</t>
  </si>
  <si>
    <t>Con 12 horas o más de aviso se devuelve la seña; con menos, o por inasistencia, se retiene.</t>
  </si>
  <si>
    <t>Cap. II.3; R-02</t>
  </si>
  <si>
    <t>Aprobación del catálogo por Loren</t>
  </si>
  <si>
    <t>30/10/2026</t>
  </si>
  <si>
    <t>Lorena Gonzalez, propietaria, firmó el formulario «Confirmación sobre el sistema Nexa» con Sí en las 12 preguntas: reunión del 28/09, franjas de RF-01, asignación de R-04, seña y devolución a las 12 horas (R-02), tolerancia de 20 minutos (R-03), seña única (R-07), consentimiento de alergias (R-05), menores de 13 años (R-06), exclusiones L-02 (comisiones) y L-06 (talleres) y conformidad con la lista de requisitos y reglas que la autora le mostró. La pregunta 12 refiere a esa lista general: no incluye los requisitos RF-13 a RF-34 ni RNF-06 a RNF-10 de la v7. El editor del PDF muestra la opción marcada «Sí» tachada: la casilla está tildada.</t>
  </si>
  <si>
    <t>Constancia en el Portafolio AE4: Confirmacion_Loren_Nexa.pdf (formulario firmado el 30/10/2026)</t>
  </si>
  <si>
    <t>Funciones agregadas por la autora (tienda y otras)</t>
  </si>
  <si>
    <t>La autora declara que la tienda la agregó ella. La fila del 28/09 registra que se mostró toda la página, pero no hay constancia módulo por módulo ni un pedido específico de Loren. Los requisitos RF-13 a RF-34 y RNF-06 a RNF-10 y las reglas R-08 a R-21 quedan en estado «Pendiente» hasta una nueva confirmación de la propietaria.</t>
  </si>
  <si>
    <t>Declaración de la autora; hojas Catálogo y Reglas</t>
  </si>
  <si>
    <t>Plan de iteraciones y presupuesto de horas · Capítulo V</t>
  </si>
  <si>
    <t>El cronograma se construye sobre el presupuesto efectivo de horas-persona y se alinea con la cadencia de artefactos: v1 en la semana 8, v2 en la semana 11, v3 en la semana 13 y versión funcional congelada en la semana 14.</t>
  </si>
  <si>
    <t>Iteración</t>
  </si>
  <si>
    <t>Desde</t>
  </si>
  <si>
    <t>Hasta</t>
  </si>
  <si>
    <t>Objetivo verificable</t>
  </si>
  <si>
    <t>Requisitos comprometidos (ID)</t>
  </si>
  <si>
    <t>Entregable de cierre</t>
  </si>
  <si>
    <t>Horas asignadas</t>
  </si>
  <si>
    <t>Semana 6</t>
  </si>
  <si>
    <t>Semana 8</t>
  </si>
  <si>
    <t>Prototipo v1 ejecutable: alta de cuenta, catálogo de servicios, reserva con validación de disponibilidad en tiempo real y aceptación registrada de la política de privacidad.</t>
  </si>
  <si>
    <t>RF-01, RF-02, RF-08, RF-11, RNF-02</t>
  </si>
  <si>
    <t>Repositorio etiquetado v1, clonable y ejecutable siguiendo el archivo de lectura.</t>
  </si>
  <si>
    <t>Semana 9</t>
  </si>
  <si>
    <t>Semana 11</t>
  </si>
  <si>
    <t>v2: cobro de seña mediante Mercado Pago (modo prueba) o coordinada por WhatsApp, política de cancelación con devolución o retención, consentimiento diferenciado para datos de alergias y restricción de su visibilidad a la profesional asignada, y registro de acompañante para menores de 13 años.</t>
  </si>
  <si>
    <t>RF-03, RF-04, RF-07, RF-12, RNF-01, RNF-03, RNF-04</t>
  </si>
  <si>
    <t>v2 con el flujo de pago de la seña funcionando de punta a punta.</t>
  </si>
  <si>
    <t>Semana 12</t>
  </si>
  <si>
    <t>Semana 13</t>
  </si>
  <si>
    <t>v3: asignación automática de profesional por disponibilidad y menor carga semanal, con desempate por antigüedad; tolerancia de 20 minutos con liberación automática del horario, y reserva de servicios simultáneos con profesionales distintas.</t>
  </si>
  <si>
    <t>RF-05, RF-06, RF-10</t>
  </si>
  <si>
    <t>v3 con las reglas de agenda avanzada validadas con la propietaria.</t>
  </si>
  <si>
    <t>Semana 14</t>
  </si>
  <si>
    <t>Versión funcional congelada: eliminación o anonimización de datos a pedido de la titular y registro de auditoría de cambios sensibles.</t>
  </si>
  <si>
    <t>Versión congelada etiquetada, lista para evaluación.</t>
  </si>
  <si>
    <t>Fuera de plan</t>
  </si>
  <si>
    <t>Funciones construidas durante el desarrollo sin estar en el plan inicial: reprogramación, liberación por seña impaga, turnos manuales, cobro del saldo, servicios especiales, bloqueo de clientas, tienda, promociones, inventario, campañas, eventos especiales, notificaciones, reseñas, historial, registro de actividad, galería, gestión de profesionales, recordatorio de inactividad, detalles del servicio, configuración, postulaciones y panel; más los requisitos no funcionales RNF-06 a RNF-10.</t>
  </si>
  <si>
    <t>RF-13 a RF-34, RNF-06 a RNF-10</t>
  </si>
  <si>
    <t>Código en la rama principal de ambos repositorios; la etiqueta de la versión congelada se crea después de la última corrida verde.</t>
  </si>
  <si>
    <t>Presupuesto de horas-persona</t>
  </si>
  <si>
    <t>Integrantes del equipo</t>
  </si>
  <si>
    <t>Horas semanales reales por integrante (declaradas, no deseadas)</t>
  </si>
  <si>
    <t>Semanas del período</t>
  </si>
  <si>
    <t>Presupuesto total</t>
  </si>
  <si>
    <t>Reducción prevista por exámenes y feriados (horas)</t>
  </si>
  <si>
    <t>Presupuesto efectivo resultante</t>
  </si>
  <si>
    <t>Horas ya asignadas a iteraciones</t>
  </si>
  <si>
    <t>Margen disponible</t>
  </si>
  <si>
    <t>Cláusula de contingencia (exigencia vii de la consigna)</t>
  </si>
  <si>
    <t>Si el presupuesto de horas cae un tercio, se posterga</t>
  </si>
  <si>
    <t>la Iteración 4 (versión funcional congelada, 25 h) y la Iteración 3 (agenda avanzada, 35 h) completas; sumadas a las 10 h de margen cubren las 70 h perdidas. Sus requisitos —RF-05, RF-06, RF-09, RF-10 y RNF-05— pasan a una segunda etapa posterior a la evaluación de la AE2, ya que ninguno integra el MVP definido en el apartado V.5.</t>
  </si>
  <si>
    <t>Criterio de redistribución, según el acta de constitución</t>
  </si>
  <si>
    <t>Se prioriza sostener los requisitos «Must» que integran el MVP (RF-01 a RF-04, RF-07, RF-08, RF-11, RF-12 y RNF-01 a RNF-04). Los requisitos «Should» de las Iteraciones 3 y 4 se redistribuyen o postergan primero, empezando por la iteración de fecha más lejana.</t>
  </si>
  <si>
    <t>Qué no se sacrifica en ningún caso</t>
  </si>
  <si>
    <t>La trazabilidad del catálogo y la ejecutabilidad del prototipo v1: son condiciones de cómputo.</t>
  </si>
  <si>
    <t>Horas de las funciones extra</t>
  </si>
  <si>
    <t>No se llevó un registro de horas por función. La cifra de 200 horas es el presupuesto planificado (valor de referencia), no un registro de horas reales; las horas reales se estiman a partir de los commits y se declaran como estimación en el Capítulo XII.</t>
  </si>
  <si>
    <t>Dimensionamiento de recursos y estructura de costos · Capítulo X</t>
  </si>
  <si>
    <t>Cada asignación con su justificación y su fuente. Toda cifra de costo responde las tres preguntas: quién la produjo, con qué método y sobre qué universo, y para qué período de referencia. No se promedian cifras de universos distintos. Importes en pesos argentinos (ARS) y en dólares estadounidenses (USD): los bienes comprados en dólares se valúan al tipo de cambio de su fecha; el resto se convierte al tipo de cambio minorista de referencia del BCRA, $1.545,118 (cotización vendedor, 25/09/2026, 15:00 h).</t>
  </si>
  <si>
    <t>Clase de recurso</t>
  </si>
  <si>
    <t>Concepto</t>
  </si>
  <si>
    <t>Cantidad</t>
  </si>
  <si>
    <t>Unidad</t>
  </si>
  <si>
    <t>Costo unitario (ARS)</t>
  </si>
  <si>
    <t>Costo unitario (USD)</t>
  </si>
  <si>
    <t>Subtotal (ARS)</t>
  </si>
  <si>
    <t>Subtotal (USD)</t>
  </si>
  <si>
    <t>Naturaleza</t>
  </si>
  <si>
    <t>Fuente, período y justificación</t>
  </si>
  <si>
    <t>1. Costos directos (relacionados directamente con el desarrollo)</t>
  </si>
  <si>
    <t>1.1 Personal técnico</t>
  </si>
  <si>
    <t>Humanos</t>
  </si>
  <si>
    <t>Desarrollo, pruebas y documentación del sistema Nexa (autora)</t>
  </si>
  <si>
    <t>hora</t>
  </si>
  <si>
    <t>OPEX</t>
  </si>
  <si>
    <t>Costo de oportunidad de referencia, no pago real, ya que el proyecto es propio y no se factura a la organización. Las horas del período de desarrollo (200) son una estimación e incluyen desarrollo, reuniones, capacitación y documentación; esta fila recibe el saldo tras restar las reuniones y la capacitación. El mantenimiento posterior al lanzamiento se presupuesta aparte (categoría 5). Tarifa: ver parámetros.</t>
  </si>
  <si>
    <t>Reuniones presenciales con la referente (relevamiento, entrevistas, prototipo v0 y validación de la versión desplegada en producción)</t>
  </si>
  <si>
    <t>Tiempo de la autora en las cuatro reuniones presenciales con la propietaria de Loren Estudio de Belleza (relevamiento del problema en junio, entrevistas y toma de datos el 26/08, muestra del prototipo v0 el 28/08 y validación de la versión desplegada en producción el 28/09 de 2026), 3 horas en total. Incluidas en las horas totales del período de desarrollo. Valuadas a la misma tarifa por hora que el desarrollo.</t>
  </si>
  <si>
    <t>Capacitación de Loren y las profesionales en el uso del sistema (prevista, aún no realizada)</t>
  </si>
  <si>
    <t>Sesión de capacitación dictada por la autora antes de la puesta en operación. Incluida en las horas totales del período de desarrollo. Valuada a la misma tarifa por hora; no es un pago efectivo.</t>
  </si>
  <si>
    <t>1.2 Licencias y herramientas de desarrollo</t>
  </si>
  <si>
    <t>Tecnológicos</t>
  </si>
  <si>
    <t>Backend</t>
  </si>
  <si>
    <t>licencia</t>
  </si>
  <si>
    <t>Software de código abierto bajo licencia MIT, sin costo de adquisición ni de uso.</t>
  </si>
  <si>
    <t>Frontend</t>
  </si>
  <si>
    <t>Entorno de desarrollo (Visual Studio Code)</t>
  </si>
  <si>
    <t>Distribución gratuita de Microsoft, utilizada como editor de código durante todo el desarrollo.</t>
  </si>
  <si>
    <t>Control de versiones (GitHub)</t>
  </si>
  <si>
    <t>plan</t>
  </si>
  <si>
    <t>Plan gratuito. Los repositorios nexa-frontend y nexa-backend son públicos y sin costo.</t>
  </si>
  <si>
    <t>Integración continua (GitHub Actions)</t>
  </si>
  <si>
    <t>Minutos de ejecución gratuitos incluidos en el plan free de GitHub.</t>
  </si>
  <si>
    <t>Asistente de programación (Claude Pro)</t>
  </si>
  <si>
    <t>mes</t>
  </si>
  <si>
    <t>Suscripción de USD 20 por mes, pagada en agosto y septiembre de 2026 con Mercado Pago en pesos argentinos: $32.704,46 por cada cobro (≈ $1.635 por USD, con impuestos incluidos). Su uso se declara en la bitácora y en el informe, con el alcance de lo asistido, según el Protocolo de Uso Autorizado. Fuente: comprobantes de pago de Mercado Pago.</t>
  </si>
  <si>
    <t>1.3 Traslados para reuniones presenciales</t>
  </si>
  <si>
    <t>Otros</t>
  </si>
  <si>
    <t>Traslado en auto: relevamiento del problema (junio 2026)</t>
  </si>
  <si>
    <t>litro</t>
  </si>
  <si>
    <t>Domicilio de la autora a Loren Estudio de Belleza: 1,2 km por tramo, en Renault Kwid 1.0 (2018); 2,4 km por reunión a 11,5 km/l. Precio del litro: promedio del rango informado para nafta súper YPF en Posadas a mediados de 2026 ($2.180 a $2.217).</t>
  </si>
  <si>
    <t>Traslado en auto: entrevistas y toma de datos (26/08/2026)</t>
  </si>
  <si>
    <t>Mismo trayecto y vehículo. Precio del litro: promedio del rango informado para nafta súper YPF en Posadas antes del aumento de septiembre de 2026 ($2.180 a $2.217), igual que el traslado de junio.</t>
  </si>
  <si>
    <t>Traslado en auto: muestra del prototipo v0 a la propietaria (28/08/2026)</t>
  </si>
  <si>
    <t>Mismo trayecto, vehículo y rendimiento que los demás traslados. Precio del litro: promedio del rango informado para nafta súper YPF en Posadas antes del aumento de septiembre de 2026 ($2.180 a $2.217), igual que el traslado de junio.</t>
  </si>
  <si>
    <t>Subtotal categoría 1</t>
  </si>
  <si>
    <t>2. Costos indirectos (gastos generales)</t>
  </si>
  <si>
    <t>2.1 Infraestructura y servicios del lugar de trabajo</t>
  </si>
  <si>
    <t>Internet (plan hogareño usado durante el desarrollo)</t>
  </si>
  <si>
    <t>Costo por hora = importe mensual del servicio de internet ÷ 720 horas del mes, por las horas de desarrollo. Se toma solo el renglón de Internet de la factura de Claro ($38.385,01 con la bonificación del 65% por 6 meses; el precio de lista es $109.671,47); se descartan telefonía fija y TV.</t>
  </si>
  <si>
    <t>Físicos y materiales</t>
  </si>
  <si>
    <t>Energía eléctrica (consumo del equipo durante el desarrollo)</t>
  </si>
  <si>
    <t>kWh</t>
  </si>
  <si>
    <t>Cantidad = kWh consumidos por el equipo = (potencia en W ÷ 1000) × horas de desarrollo. Costo unitario = tarifa efectiva = importe total de la factura ÷ kWh facturados. Fuente: factura de energía eléctrica del período de desarrollo.</t>
  </si>
  <si>
    <t>Agua (gasto general del hogar durante el desarrollo)</t>
  </si>
  <si>
    <t>Imputación proporcional de un gasto general del hogar: importe mensual ÷ integrantes del hogar ÷ 720 horas, por las horas de desarrollo. No es un insumo directo del sistema; su incidencia es marginal. Fuente: factura del servicio de agua.</t>
  </si>
  <si>
    <t>Espacio de trabajo en el hogar (imputación de alquiler)</t>
  </si>
  <si>
    <t>La autora no alquila departamento ni oficina: se imputa el costo de oportunidad del espacio usado = superficie afectada (m²) × alquiler mensual de referencia por m² de un ambiente equivalente en Posadas, por los meses de desarrollo (del 25/08 al 26/09/2026). https://roomix.ai/roomix-index/posadas?op=alquiler</t>
  </si>
  <si>
    <t>2.2 Herramientas de gestión y de uso general</t>
  </si>
  <si>
    <t>Gestión del proyecto (Trello)</t>
  </si>
  <si>
    <t>Plan gratuito.</t>
  </si>
  <si>
    <t>Documentación (Google Docs)</t>
  </si>
  <si>
    <t>Cuenta gratuita de Google.</t>
  </si>
  <si>
    <t>Planillas de cálculo (Google Sheets)</t>
  </si>
  <si>
    <t>2.3 Personal de apoyo</t>
  </si>
  <si>
    <t>Horas de la referente (Loren) en las reuniones</t>
  </si>
  <si>
    <t>Colaboración de la organización, sin facturación. La referente participa como validadora del catálogo de requisitos, sin contraprestación económica. Sus horas no forman parte del presupuesto de horas del equipo del Capítulo V.</t>
  </si>
  <si>
    <t>Subtotal categoría 2</t>
  </si>
  <si>
    <t>3. Costos de capital (CAPEX): activos utilizados</t>
  </si>
  <si>
    <t>Computadora de desarrollo: AMD Ryzen 5 5600GT with Radeon Graphics, 16 GB de RAM.</t>
  </si>
  <si>
    <t>unidad</t>
  </si>
  <si>
    <t>CAPEX</t>
  </si>
  <si>
    <t>Bien adquirido por la autora antes del proyecto, sin inversión incremental: no hubo erogación nueva atribuible al Proyecto Integrador Final. Se registra su valor de referencia con el criterio de costo de oportunidad, sin amortización. Precio: USD 710 al 15/06/2026 (referencia de mercado: comprasparaguai.com.br), convertido al tipo de cambio oficial de cierre de junio de 2026 (punto medio $1.486,5/USD). Especificaciones según Windows, aproximadas.</t>
  </si>
  <si>
    <t>Monitor MSI Pro LED MP251L E14L, Full HD, 24,5" IPS, 144 Hz</t>
  </si>
  <si>
    <t>Monitor de la estación de trabajo. Valor de referencia de mercado: USD 92, menor precio listado el 27/09/2026 en https://www.comprasparaguai.com.br/monitor-msi-pro-led-mp251l-e14l-full-hd-245_69285/ , convertido al tipo de cambio de referencia del 25/09/2026.</t>
  </si>
  <si>
    <t>Notebook HP 250 G10 (Intel Core i3, 8 GB de RAM, 512 GB SSD) para demostrar el prototipo a la referente</t>
  </si>
  <si>
    <t>Utilizada para mostrar el prototipo a Loren, no para el desarrollo. Valor de referencia: precio de lista de $1.226.498,90 en MercadoLibre Argentina, septiembre de 2026, https://www.mercadolibre.com.ar/notebook-hp-250-g10-intel-core-i3-8gb-ram-512gb-ssd/p/MLA63217862</t>
  </si>
  <si>
    <t>Escritorio de trabajo</t>
  </si>
  <si>
    <t>Mobiliario de la estación de trabajo, valuado a su precio de mercado como valor de referencia, sin amortización. Realizado por una carpinteria: muebleria los hermanos en julio 2026.</t>
  </si>
  <si>
    <t>Silla de trabajo</t>
  </si>
  <si>
    <t>Mobiliario de la estación de trabajo, valuado a su precio de mercado como valor de referencia, sin amortización. https://www.mercadolibre.com.ar/silla-de-escritorio-oficina-homeworld-ergonomica-regulable-tela-mesh/p/MLA63714507?pdp_filters=item_id:MLA1629910667&amp;matt_tool=12610545&amp;matt_internal_campaign_id=353626081&amp;matt_word=&amp;matt_source=google&amp;matt_campaign_id=24064890188&amp;matt_ad_group_id=198878799533&amp;matt_match_type=&amp;matt_network=g&amp;matt_device=c&amp;matt_creative=819933166688&amp;matt_keyword=&amp;matt_ad_position=&amp;matt_ad_type=pla&amp;matt_merchant_id=114361303&amp;matt_product_id=MLA1629910667&amp;matt_product_partition_id=2543915068277&amp;matt_target_id=pla-2543915068277&amp;cq_src=google_ads&amp;cq_cmp=24064890188&amp;cq_net=g&amp;cq_plt=gp&amp;cq_med=pla&amp;gad_source=1&amp;gad_campaignid=24064890188&amp;gbraid=0AAAAAD01zQbn_rKLuruuKnxdJQNKqR9nO&amp;gclid=CjwKCAjw_eLVBhBEEiwAeaYZfI7PC6TeqWq9ZGt9BG9T4djBAZqXvObiC3m--NwdRh-QIQFaAVwx4hoCfGAQAvD_BwE</t>
  </si>
  <si>
    <t>Subtotal categoría 3 (CAPEX)</t>
  </si>
  <si>
    <t>4. Costos de calidad y pruebas</t>
  </si>
  <si>
    <t>Traslado en auto: validación de la versión desplegada en producción con la propietaria (28/09/2026)</t>
  </si>
  <si>
    <t>Mismo trayecto, vehículo y rendimiento que los traslados de la categoría 1. Precio del litro: $2.269, MisionesOnline, 26/09/2026.</t>
  </si>
  <si>
    <t>Auditoría de seguridad externa (pruebas de penetración)</t>
  </si>
  <si>
    <t>servicio</t>
  </si>
  <si>
    <t>No contratada en esta etapa. La seguridad se limita a las medidas incorporadas al sistema (autenticación con JWT) y a la revisión propia.</t>
  </si>
  <si>
    <t>Herramientas de pruebas automatizadas de pago</t>
  </si>
  <si>
    <t>Sin licencias de pago.</t>
  </si>
  <si>
    <t>Certificaciones externas</t>
  </si>
  <si>
    <t>certificación</t>
  </si>
  <si>
    <t>No se contrataron certificaciones de terceros.</t>
  </si>
  <si>
    <t>Subtotal categoría 4</t>
  </si>
  <si>
    <t>5. Costos de post-lanzamiento y mantenimiento (operación)</t>
  </si>
  <si>
    <t>5.1 Mantenimiento y soporte</t>
  </si>
  <si>
    <t>Mantenimiento correctivo y evolutivo, y soporte técnico a las usuarias</t>
  </si>
  <si>
    <t>Estimación de la autora: horas mensuales de mantenimiento y soporte por el horizonte de operación (ver parámetros). Valuadas a la misma tarifa por hora; costo de oportunidad, no pago real. Se presupuestan aparte de las horas del período de desarrollo.</t>
  </si>
  <si>
    <t>5.2 Infraestructura de producción</t>
  </si>
  <si>
    <t>Hosting del frontend (Vercel)</t>
  </si>
  <si>
    <t>Plan gratuito (Hobby), vigente para proyectos personales y no comerciales. Sujeto a límites de ancho de banda y de funciones sin servidor; a reevaluar si el proyecto pasa a producción comercial con la organización.</t>
  </si>
  <si>
    <t>Hosting del backend (Render)</t>
  </si>
  <si>
    <t>Plan gratuito, con límite de horas mensuales de actividad e inactivación del servicio tras períodos sin uso; a reevaluar en producción.</t>
  </si>
  <si>
    <t>Base de datos (Supabase, PostgreSQL)</t>
  </si>
  <si>
    <t>Plan gratuito de Supabase, sujeto a los límites del plan; a reevaluar en producción comercial.</t>
  </si>
  <si>
    <t>Almacenamiento de imágenes (Supabase Storage)</t>
  </si>
  <si>
    <t>Incluido en el plan gratuito de Supabase. El navegador sube el archivo al backend (POST /api/uploads/image, protegido por JWT) y este lo reenvía a Supabase Storage; en la base solo se guarda la URL pública.</t>
  </si>
  <si>
    <t>Respaldo automático diario de la base de datos (GitHub Actions)</t>
  </si>
  <si>
    <t>Minutos de ejecución gratuitos del plan free de GitHub.</t>
  </si>
  <si>
    <t>Certificado SSL</t>
  </si>
  <si>
    <t>Incluido sin cargo por los planes de Vercel y Render.</t>
  </si>
  <si>
    <t>Comisión de Mercado Pago por cobro (a cargo de la organización)</t>
  </si>
  <si>
    <t>Comisión de 2,9% a 3,19% + IVA sobre el monto cobrado, a cargo de Loren Estudio de Belleza y no del proyecto: los fondos se acreditan en la cuenta de Mercado Pago de la titular y todavía no hay cobros. No integra el costo del proyecto. Fuente: tarifario de Mercado Pago Argentina, agosto de 2026, https://www.mercadopago.com.ar/ayuda/26748</t>
  </si>
  <si>
    <t>5.3 Monitoreo y analítica</t>
  </si>
  <si>
    <t>Monitoreo de errores (Sentry, proyectos de backend y de frontend)</t>
  </si>
  <si>
    <t>Dos proyectos separados que capturan errores reales en producción con contexto completo. Plan gratuito.</t>
  </si>
  <si>
    <t>Monitoreo de disponibilidad (UptimeRobot)</t>
  </si>
  <si>
    <t>Verifica cada 5 minutos que el endpoint /api/health del backend responda y avisa por correo si el sitio se cae. Plan gratuito.</t>
  </si>
  <si>
    <t>Subtotal categoría 5</t>
  </si>
  <si>
    <t>6. Costos de contingencia (imprevistos)</t>
  </si>
  <si>
    <t>Fondo de reserva para desviaciones de alcance, plazos, tipo de cambio o cambios regulatorios</t>
  </si>
  <si>
    <t>sobre categorías 1 a 5</t>
  </si>
  <si>
    <t>Porcentaje de contingencia sobre la suma de las categorías 1 a 5 (ver parámetros), dentro del rango habitual de 10% a 20%.</t>
  </si>
  <si>
    <t>Subtotal categoría 6</t>
  </si>
  <si>
    <t>Total general del proyecto (categorías 1 a 6)</t>
  </si>
  <si>
    <t>Las categorías 3 (CAPEX) y las demás se suman una sola vez; CAPEX + OPEX + contingencia = total general.</t>
  </si>
  <si>
    <t>Del cual: CAPEX (activos de capital)</t>
  </si>
  <si>
    <t>Del cual: OPEX (gastos operativos y de operación)</t>
  </si>
  <si>
    <t>Horas de la autora en el período de desarrollo</t>
  </si>
  <si>
    <t>Coherencia con el Capítulo V</t>
  </si>
  <si>
    <t>Parámetros y supuestos del cálculo</t>
  </si>
  <si>
    <t>Tipo de cambio de referencia (ARS por USD)</t>
  </si>
  <si>
    <t>Tipo de cambio minorista, cotización vendedor, publicado por el BCRA, 25/09/2026, actualización de las 15:00 h. https://www.bcra.gob.ar/tipo-de-cambio-minorista-resultado</t>
  </si>
  <si>
    <t>Tipo de cambio de la compra de la computadora (ARS por USD)</t>
  </si>
  <si>
    <t>Punto medio del rango de cierre de junio de 2026 ($1.483 a $1.490 por dólar), BCRA, Informe Monetario Mensual, junio de 2026. https://www.bcra.gob.ar/archivos/Pdfs/PublicacionesEstadisticas/informes/informe-monetario-mensual-jun-26.pdf</t>
  </si>
  <si>
    <t>Costo por hora de la autora (ARS)</t>
  </si>
  <si>
    <t>Salario bruto promedio del sector software, Reporte OPSSI/CESSI, 1er trimestre 2026 (dato de marzo 2026), dividido por 173 horas mensuales. https://guara-opssi-2026-q1.netlify.app/</t>
  </si>
  <si>
    <t>Horas totales del período de desarrollo</t>
  </si>
  <si>
    <t>Horas asignadas a las iteraciones del Capítulo V (hoja Iteraciones).</t>
  </si>
  <si>
    <t>Horas de reuniones con la referente</t>
  </si>
  <si>
    <t>Horas totales de las cuatro reuniones presenciales (relevamiento del problema en junio, entrevistas el 26/08, muestra del prototipo v0 el 28/08 y validación de la versión desplegada en producción el 28/09).</t>
  </si>
  <si>
    <t>Horas de capacitación prevista</t>
  </si>
  <si>
    <t>Una sesión de cuatro horas previa a la puesta en operación.</t>
  </si>
  <si>
    <t>Horas de un mes calendario (24 × 30)</t>
  </si>
  <si>
    <t>Base para pasar un importe mensual a costo por hora.</t>
  </si>
  <si>
    <t>Fecha del primer commit</t>
  </si>
  <si>
    <t>Historial de commits de los repositorios nexa-frontend y nexa-backend.</t>
  </si>
  <si>
    <t>Fecha del último commit</t>
  </si>
  <si>
    <t>Meses de desarrollo (días corridos ÷ 30)</t>
  </si>
  <si>
    <t>Duración real del desarrollo según los commits.</t>
  </si>
  <si>
    <t>Distancia por reunión, ida y vuelta (km)</t>
  </si>
  <si>
    <t>Domicilio de la autora al estudio: 1,2 km por tramo.</t>
  </si>
  <si>
    <t>Rendimiento urbano del Renault Kwid 1.0 2018 (km/l)</t>
  </si>
  <si>
    <t>Rendimiento real en ciudad medido en prueba de manejo (iProfesional, 16/07/2026), más conservador que el declarado por el fabricante (15,3 km/l), por tratarse de trayectos cortos con motor frío.</t>
  </si>
  <si>
    <t>Internet: importe mensual del servicio (ARS)</t>
  </si>
  <si>
    <t>Servicio Internet 600 MB de Claro, con bonificación del 65% por 6 meses (precio de lista $109.671,47). Se excluyen telefonía fija y TV, que no corresponden al proyecto.</t>
  </si>
  <si>
    <t>Luz: importe total de la factura mensual (ARS)</t>
  </si>
  <si>
    <t>Factura de energía eléctrica del período de desarrollo.</t>
  </si>
  <si>
    <t>Luz: kWh facturados en ese período</t>
  </si>
  <si>
    <t>Detalle de consumo de la misma factura.</t>
  </si>
  <si>
    <t>Luz: potencia del equipo de desarrollo en uso (W, PC y monitor)</t>
  </si>
  <si>
    <t>W</t>
  </si>
  <si>
    <t>Medición estimada, sin medir con un vatímetro</t>
  </si>
  <si>
    <t>Agua: importe mensual de la factura (ARS)</t>
  </si>
  <si>
    <t>Factura del servicio de agua del hogar.</t>
  </si>
  <si>
    <t>Agua: integrantes del hogar</t>
  </si>
  <si>
    <t>Personas entre las que se reparte el consumo.</t>
  </si>
  <si>
    <t>Espacio de trabajo: superficie afectada (m²)</t>
  </si>
  <si>
    <t>Superficie del ambiente usado para el desarrollo.</t>
  </si>
  <si>
    <t>Espacio de trabajo: alquiler mensual de referencia por m² (ARS)</t>
  </si>
  <si>
    <t>Alquiler mensual de mercado por m² de un ambiente equivalente en Posadas.</t>
  </si>
  <si>
    <t>Escritorio: precio (ARS)</t>
  </si>
  <si>
    <t>Precio del escritorio utilizado para el desarrollo.</t>
  </si>
  <si>
    <t>Silla: precio (ARS)</t>
  </si>
  <si>
    <t>Precio de la silla utilizada para el desarrollo.</t>
  </si>
  <si>
    <t>Horizonte de operación posterior al lanzamiento (meses)</t>
  </si>
  <si>
    <t>Período de referencia del presupuesto de operación.</t>
  </si>
  <si>
    <t>Horas mensuales de mantenimiento y soporte</t>
  </si>
  <si>
    <t>Estimación de la autora para corrección de errores, mejoras y atención de consultas.</t>
  </si>
  <si>
    <t>Porcentaje de contingencia</t>
  </si>
  <si>
    <t>Dentro del rango habitual de 10% a 20% sobre el costo total; se adopta el punto medio por el riesgo cambiario y de alcance.</t>
  </si>
  <si>
    <t>Panel de control de la entrega</t>
  </si>
  <si>
    <t>Los valores se calculan solos a partir de las demás hojas. Ninguna celda de esta hoja se escribe a mano. Recórrala la noche anterior a la entrega: cada línea en rojo es una observación previsible en la devolución.</t>
  </si>
  <si>
    <t>Indicador</t>
  </si>
  <si>
    <t>Valor</t>
  </si>
  <si>
    <t>Qué debe verificarse</t>
  </si>
  <si>
    <t>Requisitos registrados</t>
  </si>
  <si>
    <t>Un catálogo de menos de ocho requisitos rara vez cubre el alcance declarado.</t>
  </si>
  <si>
    <t>Requisitos con criterio de aceptación</t>
  </si>
  <si>
    <t>Debe coincidir con el total. Un requisito sin criterio no se computa.</t>
  </si>
  <si>
    <t>Requisitos trazados a un hallazgo o acta</t>
  </si>
  <si>
    <t>Debe coincidir con el total. Sin origen, el requisito no ingresa al catálogo.</t>
  </si>
  <si>
    <t>Requisitos no funcionales</t>
  </si>
  <si>
    <t>Un catálogo sin requisitos no funcionales no decidió arquitectura.</t>
  </si>
  <si>
    <t>No funcionales sin categoría declarada</t>
  </si>
  <si>
    <t>Debe ser cero.</t>
  </si>
  <si>
    <t>Requisitos «Must»</t>
  </si>
  <si>
    <t>Priorizar es nombrar lo que no se hará. Si casi todo es «Must», no se priorizó.</t>
  </si>
  <si>
    <t>Requisitos declarados dentro del MVP</t>
  </si>
  <si>
    <t>Debe coincidir con la cantidad de «Must».</t>
  </si>
  <si>
    <t>Coherencia entre «Must» y producto mínimo viable</t>
  </si>
  <si>
    <t>Si dice REVISAR, uno de los dos apartados está mal escrito: el catálogo o el V.5.</t>
  </si>
  <si>
    <t>Requisitos validados con el referente</t>
  </si>
  <si>
    <t>Un requisito redactado y no validado carece de valor probatorio.</t>
  </si>
  <si>
    <t>Filas del catálogo con campos faltantes</t>
  </si>
  <si>
    <t>Debe ser cero antes de exportar el PDF.</t>
  </si>
  <si>
    <t>Hallazgos de la AE1 registrados</t>
  </si>
  <si>
    <t>Todo hallazgo del Capítulo II que sostuvo el diagnóstico debería estar.</t>
  </si>
  <si>
    <t>Hallazgos sin requisito ni justificación</t>
  </si>
  <si>
    <t>Debe ser cero. El silencio no es una decisión.</t>
  </si>
  <si>
    <t>Entidades aceptadas en el modelo del dominio</t>
  </si>
  <si>
    <t>Cada una debe tener su fuente en la columna correspondiente.</t>
  </si>
  <si>
    <t>Candidatas evaluadas y reclasificadas</t>
  </si>
  <si>
    <t>Los descartes documentados son los que permiten defender la delimitación.</t>
  </si>
  <si>
    <t>Reglas de negocio registradas</t>
  </si>
  <si>
    <t>Mínimo exigido en el taller de la Clase 8: tres reglas enunciadas de modo verificable.</t>
  </si>
  <si>
    <t>Reglas todavía pendientes de validación</t>
  </si>
  <si>
    <t>Toda regla pendiente pasa a la guía de la sesión de validación.</t>
  </si>
  <si>
    <t>Términos del glosario en disputa</t>
  </si>
  <si>
    <t>Se resuelven con el referente y se cierran con una definición acordada.</t>
  </si>
  <si>
    <t>Horas asignadas a iteraciones</t>
  </si>
  <si>
    <t>Deben caber en el presupuesto efectivo de horas de la hoja Iteraciones.</t>
  </si>
  <si>
    <t>Coherencia entre recursos humanos y presupuesto de horas</t>
  </si>
  <si>
    <t>Las horas del Capítulo X y las del Capítulo V deben ser el mismo número.</t>
  </si>
  <si>
    <t>Condición material del cómputo</t>
  </si>
  <si>
    <t>Ninguna de estas cifras sustituye la comprobación del prototipo v1. La cátedra clona el repositorio en la etiqueta v1, sigue las instrucciones del archivo de lectura y ejecuta. Un esqueleto que no arranca, no compila o carece de instrucciones no se computa como entregado, con independencia de la calidad del documento que lo acompañe.</t>
  </si>
  <si>
    <t>Indicadores agregados en la v7 (30/10/2026)</t>
  </si>
  <si>
    <t>Requisitos extra (sin hallazgo, declarados)</t>
  </si>
  <si>
    <t>Cada uno declara su origen; no se inventan hallazgos para justificarlos.</t>
  </si>
  <si>
    <t>Requisitos que derivan de un hallazgo de la AE1</t>
  </si>
  <si>
    <t>Más los requisitos «EXTRA» dan el total de la fila 5.</t>
  </si>
  <si>
    <t>Requisitos pendientes de validación con el referente</t>
  </si>
  <si>
    <t>Pasan a la próxima sesión de validación con Loren.</t>
  </si>
  <si>
    <t>Requisitos del catálogo sin fila en «Código y pruebas»</t>
  </si>
  <si>
    <t>Requisitos con prueba automatizada completa</t>
  </si>
  <si>
    <t>Prueba que ejercita el criterio de aceptación.</t>
  </si>
  <si>
    <t>Requisitos con prueba parcial</t>
  </si>
  <si>
    <t>Falta cubrir una parte del criterio.</t>
  </si>
  <si>
    <t>Requisitos sin prueba</t>
  </si>
  <si>
    <t>Cada uno se prueba o se declara como límite de la entrega.</t>
  </si>
  <si>
    <t>Brechas abiertas entre el requisito y el código</t>
  </si>
  <si>
    <t>Cada brecha se cierra con código o se acepta y se declara.</t>
  </si>
  <si>
    <t>Código y pruebas · requisito → componente → prueba</t>
  </si>
  <si>
    <t>Cada requisito del catálogo con el componente del código que lo satisface, la prueba que lo verifica y la brecha conocida entre lo que dice el requisito y lo que hace el sistema. Fuente: lectura del backend del 30/10/2026 (HEAD 15868b3, 32 archivos y 310 tests en verde). Las pantallas del frontend se ubicaron buscando las rutas de la API; el frontend no se ejecutó.</t>
  </si>
  <si>
    <t>Componente que lo satisface</t>
  </si>
  <si>
    <t>Prueba que lo verifica</t>
  </si>
  <si>
    <t>Cobertura</t>
  </si>
  <si>
    <t>Brecha entre el requisito y el código</t>
  </si>
  <si>
    <t>Estado de la brecha</t>
  </si>
  <si>
    <t>Qué hay que hacer o decidir</t>
  </si>
  <si>
    <t>Control contra el catálogo</t>
  </si>
  <si>
    <t>Índice único parcial appointments_professional_date_time_active_key (migraciones 20260826153839 y 20261028160000); appointment.service.ts › createForClient + isSlotConflict (409 PROFESSIONAL_SLOT_TAKEN); assertWithinAvailability (400 OUT_OF_HOURS).</t>
  </si>
  <si>
    <t>appointments.booking (mismo horario con la misma profesional rechazado; con otra profesional permitido); appointments.cancel-reschedule; appointments.combo; appointments.arrival-noshow (libera el horario); appointments.out-of-hours (6 casos).</t>
  </si>
  <si>
    <t>Con prueba</t>
  </si>
  <si>
    <t>El índice compara profesional, fecha y hora de inicio: no detecta solapamientos por duración. Los turnos manuales pasan por el índice pero no por la franja.</t>
  </si>
  <si>
    <t>Aceptada y declarada</t>
  </si>
  <si>
    <t>Aceptado por la propietaria el 30/10/2026 (pregunta 3: cada profesional arma sus franjas sin que se pisen). Declararlo en el Capítulo IX.</t>
  </si>
  <si>
    <t>auth/dto/register.dto.ts › registerDto; auth.service.ts › register; appointment.service.ts › createForClient + displayStatusOf (etiqueta pending_deposit).</t>
  </si>
  <si>
    <t>auth.test (registro correcto, sin apellido, sin teléfono, columnas separadas); appointments.booking (un turno con seña sin pagar se expone como pending_deposit).</t>
  </si>
  <si>
    <t>Parcial</t>
  </si>
  <si>
    <t>El backend recibe el alta y la reserva en dos pedidos; que el formulario los una es del frontend y no está probado. El teléfono se valida solo por largo (6 a 20), no como celular. «Pendiente de seña» es una etiqueta derivada: en la base el turno está confirmado.</t>
  </si>
  <si>
    <t>Abierta</t>
  </si>
  <si>
    <t>Decidir si se valida el formato de celular; mirar en el frontend que alta y reserva se vean como un solo formulario.</t>
  </si>
  <si>
    <t>settings.service.ts › computeDeposit; appointment.service.ts › createPaymentPreference, applyPaymentResult, registerWhatsappDepositPaid, createComboPaymentPreference, applyGroupPaymentResult; payments/payment.controller.ts › recibirWebhookMercadoPago; payments/paidAmount.ts.</t>
  </si>
  <si>
    <t>whatsapp-payment (6); payments.webhook-amount; payments.webhook-idempotency; appointments.combo-deposit (una sola seña de $5.000); appointments.booking (seña de $2.000 y seña 0).</t>
  </si>
  <si>
    <t>Sin prueba: el modo porcentaje de computeDeposit, PATCH /settings/payments y el cobro real contra Mercado Pago (los tests lo simulan). El servicio especial se crea con paymentStatus partial sin que haya un pago.</t>
  </si>
  <si>
    <t>Agregar la prueba del modo porcentaje y corregir el estado inicial del servicio especial (RF-17).</t>
  </si>
  <si>
    <t>appointment.service.ts › cancelWithGroup y cancelForClient (hoursUntil mayor o igual que cancellationHours y refundPolicy distinta de none: paymentStatus pasa a refunded); PaymentSettings.cancellationHours (12 por defecto, migración 20261005190000).</t>
  </si>
  <si>
    <t>appointments.cancel-reschedule (reembolsa con 18 horas y con más margen que el corte; no reembolsa con 11 horas ni dentro del corte); timezone-art (12 horas y media reales sí; menos de 12 reales no).</t>
  </si>
  <si>
    <t>No existen los estados «retenida» ni «a devolver»: solo refunded. No hay reembolso real en Mercado Pago (refunded es una marca en la base). La marca se pone aunque la seña no esté paga. refundPolicy partial se trata como full. Sin prueba: el límite exacto de 12 horas, refundPolicy distinto de full, inasistencia con seña y cancelación con seña impaga.</t>
  </si>
  <si>
    <t>Decidir: marcar refunded solo si la seña estaba paga y agregar las pruebas faltantes, y declarar con Loren que la devolución del dinero se coordina fuera del sistema (límite L-08).</t>
  </si>
  <si>
    <t>jobs/autoNoShow.job.ts › runAutoNoShowJob (GRACE_MINUTES = 20); jobs/scheduler.ts (cada 5 minutos, America/Argentina/Buenos_Aires); appointment.service.ts › registerArrival y markArrivalFor*.</t>
  </si>
  <si>
    <t>appointments.arrival-noshow (15 casos: 21 y 25 minutos marcan cancelled_no_show, 19 no; no marca si ya llegó; libera el horario; deja registro); timezone-art (no-show en hora de Argentina).</t>
  </si>
  <si>
    <t>El job marca con 20 minutos exactos o más; el requisito validado dice «más de 20 minutos». El caso de 20 minutos exactos no tiene prueba.</t>
  </si>
  <si>
    <t>Cambiar la comparación a «más de 20» y probar 20:00 exactos, o pedir a Loren que acepte «20 minutos o más». Con el job cada 5 minutos el efecto práctico es mínimo.</t>
  </si>
  <si>
    <t>appointment.service.ts › resolveProfessionalId y previewAnyProfessional; appointments/availability.ts › weekRangeOf, isTimeInRanges, isOnVacation; GET /services/:id/preferred-professional.</t>
  </si>
  <si>
    <t>appointments.booking › asignación automática (R-04): menor carga de la semana, solo lunes a domingo de la semana pedida, cancelados y cancelled_no_show no suman, desempate por antigüedad, descarta sin franja o con turno a esa hora, 409 si nadie está libre.</t>
  </si>
  <si>
    <t>«Antigüedad» es Professional.createdAt (cuándo se creó el perfil en Nexa), no los años en el estudio; el último desempate es el id.</t>
  </si>
  <si>
    <t>Confirmar con Loren que el orden de alta de los perfiles coincide con la antigüedad real; si no, agregar un campo de fecha de ingreso al estudio.</t>
  </si>
  <si>
    <t>appointment.controller.ts › detailsSchema (consentAlertas obligatorio); appointment.service.ts › updateDetailsForClient; admin.service.ts › assertAllergiesUnchanged; updateForProfessional no acepta alergias.</t>
  </si>
  <si>
    <t>allergies.consent-visibility (13 casos): sin consentimiento no se guarda; con consentimiento se guarda con fecha y hora; el administrador y la profesional no cargan ni cambian alergias.</t>
  </si>
  <si>
    <t>La fecha y hora del consentimiento queda como texto «alertas_servicio:&lt;turno&gt;:&lt;fecha ISO&gt;» dentro de Client.consents (no hay columna propia). Client.allergies (perfil) no tiene ninguna ruta de escritura: solo se carga la alergia del turno.</t>
  </si>
  <si>
    <t>Declarar en el informe que la alergia se carga por turno.</t>
  </si>
  <si>
    <t>register.dto.ts › termsAccepted; auth.service.ts › register (termsAcceptedAt y termsVersion = «2026-09», app/constants/legal.ts); appointment.service.ts › createForClient (vuelve a grabar). Frontend: RegisterForm.tsx y PrivacyPolicyPage.tsx.</t>
  </si>
  <si>
    <t>terms-version (3 casos); auth.test (rechaza el registro sin aceptar); appointments.booking (rechaza reservar sin aceptar).</t>
  </si>
  <si>
    <t>Hay una sola columna de fecha y una de versión por usuaria: cada aceptación pisa la anterior, sin historial. Que el formulario no avance si se rechaza la política es del frontend y no tiene prueba.</t>
  </si>
  <si>
    <t>Probar el formulario del frontend o declarar el límite; decidir si hace falta historial de aceptaciones.</t>
  </si>
  <si>
    <t>admin.service.ts › anonymizeClient (POST /admin/clients/:id/anonymize); frontend: pages/admin/clients/ClientDetail.tsx.</t>
  </si>
  <si>
    <t>admin.clients (6 casos): reemplaza nombre, email y teléfono y conserva los turnos; no toca el perfil clínico; la clienta anonimizada no puede ingresar; deja constancia en el registro de actividad; una profesional no puede anonimizar.</t>
  </si>
  <si>
    <t>Anonimiza nombre, apellido, email y teléfono, desactiva la cuenta y cierra las sesiones. NO toca: alergias, preferencias, observaciones, notas, fecha de nacimiento, consentimientos, fotos de la galería, teléfono, dirección y notas de los pedidos, ni los comentarios de las reseñas. El registro no enumera los campos. El cierre de sesiones no tiene prueba.</t>
  </si>
  <si>
    <t>Decisión de la autora y de Loren: ampliar la anonimización a esos datos (recomendado, por la Ley N.º 25.326) o declarar el límite L-07. Probar el cierre de sesiones.</t>
  </si>
  <si>
    <t>appointment.service.ts › createComboForClient, createComboPaymentPreference, applyGroupPaymentResult, registerWhatsappDepositPaid (combo), comboGroupPeers; columna comboGroupId.</t>
  </si>
  <si>
    <t>appointments.combo-deposit (dos turnos vinculados con el mismo inicio y una sola seña); appointments.combo (5); payments.webhook-amount y payments.webhook-idempotency (combo); jobs.release-unpaid; whatsapp-payment (combo); notifications.investigation (2).</t>
  </si>
  <si>
    <t>El carácter simultáneo lo decide el pedido (input.simultaneous), no Service.simultaneous. La clienta que cancela una pata del combo no cancela las demás; el personal cancela todo el grupo.</t>
  </si>
  <si>
    <t>Declarar el comportamiento en el informe.</t>
  </si>
  <si>
    <t>services/service.controller.ts (create, update, getActive) y service.model.ts.</t>
  </si>
  <si>
    <t>Ninguna prueba del alta, la edición ni el listado público; solo se prueba GET /services/:id/preferred-professional.</t>
  </si>
  <si>
    <t>Sin prueba</t>
  </si>
  <si>
    <t>categoryId es texto libre (hasta 50 caracteres): el backend no restringe las categorías a uñas, cabello, cuerpo y rostro.</t>
  </si>
  <si>
    <t>Agregar una prueba de alta y de listado público y validar la categoría contra las cuatro del catálogo.</t>
  </si>
  <si>
    <t>app/constants/companion.ts › COMPANION_RELATIONS; detailsSchema; updateDetailsForClient; CHECK appointments_companion_relation_check (migración 20261006122000, que borró companion_name y accompanied).</t>
  </si>
  <si>
    <t>appointments.companion (4 casos): guarda el vínculo de la lista; ignora un nombre de acompañante; rechaza un vínculo fuera de la lista; sin acompañante no guarda vínculo.</t>
  </si>
  <si>
    <t>El backend no conoce la edad de nadie: «menor de 13 años» no se valida y hasCompanion vale para cualquier turno.</t>
  </si>
  <si>
    <t>Declarar que la minimización de datos impide validar la edad.</t>
  </si>
  <si>
    <t>No determinado: ningún componente garantiza el tiempo. Existe scripts/load-test.yml (Artillery) que mide home, health y login inválido, no el flujo de reserva.</t>
  </si>
  <si>
    <t>Ninguna.</t>
  </si>
  <si>
    <t>No hay medición de los 5 segundos con 4G.</t>
  </si>
  <si>
    <t>Medir tres repeticiones consecutivas desde un celular con 4G, guardar la evidencia en el Portafolio y anotar el valor medido en el criterio; si no se cumple, declarar el valor real.</t>
  </si>
  <si>
    <t>Propiedad del frontend; el backend solo sirve la API y no contiene ninguna aplicación nativa.</t>
  </si>
  <si>
    <t>Ninguna en el repositorio del backend.</t>
  </si>
  <si>
    <t>No verificable desde el backend.</t>
  </si>
  <si>
    <t>Repetir el flujo completo desde un celular sin instalar nada y dejar el registro (captura o video) en el Portafolio.</t>
  </si>
  <si>
    <t>appointment.service.ts › toProfessionalView, listForProfessional, updateForProfessional, listClientsForProfessional; admin.service.ts › mapAdminClient.</t>
  </si>
  <si>
    <t>allergies.consent-visibility: la profesional asignada ve ambas alergias; una que nunca atendió no ve ninguna; una que atendió antes ve solo la del perfil; otra profesional no abre el turno ajeno.</t>
  </si>
  <si>
    <t>El código toma «ya la atendió» como cualquier turno con esa clienta, en cualquier estado (también cancelado o futuro); la prueba usa un turno finalizado. La clienta no ve la alergia del perfil.</t>
  </si>
  <si>
    <t>Filtrar por turnos finalizados (o declarar la regla actual) y agregar la prueba con un turno cancelado y uno futuro.</t>
  </si>
  <si>
    <t>prisma/schema.prisma: solo se guarda mpPaymentId (Appointment y Order); payment.service.ts delega el cobro en Checkout Pro.</t>
  </si>
  <si>
    <t>schema.no-card-data (4 casos): el esquema y la base migrada no tienen columnas de tarjeta o bancarias; el único dato externo es el identificador del pago.</t>
  </si>
  <si>
    <t>Sin brecha</t>
  </si>
  <si>
    <t>activity/activity.service.ts › log; appointment.service.ts › logStatusChange, afterCancel, afterCreate, afterReschedule; jobs/autoNoShow.job.ts; admin.service.ts › anonymizeClient.</t>
  </si>
  <si>
    <t>appointments.status-log (3 casos de cambios de estado); appointments.arrival-noshow (marcación automática); admin.clients (constancia de la anonimización).</t>
  </si>
  <si>
    <t>El job de liberación por falta de pago deja una sola entrada agregada («Turnos liberados por falta de pago: N») sin identificar los turnos. Un turno sin seña pagada no deja entrada hasta que se paga. El registro de la anonimización no enumera los campos. No hay eliminación física que registrar: el sistema solo anonimiza.</t>
  </si>
  <si>
    <t>Registrar una entrada por turno liberado y enumerar los campos en el registro de la anonimización.</t>
  </si>
  <si>
    <t>appointment.service.ts › rescheduleForClient, afterReschedule, afterStaffReschedule; updateForAdmin y updateForProfessional (reprogramación del personal); rescheduleNoticePending.</t>
  </si>
  <si>
    <t>appointments.cancel-reschedule (10 casos, entre ellos rechaza horario ocupado y rechaza una pata de combo).</t>
  </si>
  <si>
    <t>Ninguna conocida.</t>
  </si>
  <si>
    <t>jobs/releaseUnpaidAppointments.job.ts › runReleaseUnpaidAppointmentsJob; jobs/scheduler.ts.</t>
  </si>
  <si>
    <t>jobs.release-unpaid (incluye: si la pata con seña de un combo queda impaga, cancela el grupo).</t>
  </si>
  <si>
    <t>Deja una sola entrada agregada en el registro de actividad (ver RNF-05). Falta confirmar desde qué momento cuenta el plazo de 20 minutos.</t>
  </si>
  <si>
    <t>Confirmar el plazo en el archivo del job y registrar un renglón por turno liberado.</t>
  </si>
  <si>
    <t>appointment.service.ts › createManualAppointment, findOrCreateManualClient, createForAdmin, createForProfessional.</t>
  </si>
  <si>
    <t>auth.minor-fixes (turno manual con clienta nueva); prueba «el turno manual del admin no se valida contra la franja».</t>
  </si>
  <si>
    <t>El turno manual no se valida contra las franjas de la profesional.</t>
  </si>
  <si>
    <t>Declarar que es una excepción deliberada del personal.</t>
  </si>
  <si>
    <t>appointment.service.ts › registerBalancePayment, registerBalancePaymentForAdmin (PATCH /admin/appointments/:id/balance-payment).</t>
  </si>
  <si>
    <t>appointments.balance-payment (10 casos).</t>
  </si>
  <si>
    <t>Solo el administrador cobra el saldo: ya no hay ruta para la profesional.</t>
  </si>
  <si>
    <t>Declarar en el informe.</t>
  </si>
  <si>
    <t>appointment.service.ts › createSpecialForClient; Service.isSpecial, specialSlots, zones, packages; service.controller.ts › assertServiceRules.</t>
  </si>
  <si>
    <t>Se crea el turno con paymentStatus partial sin que haya un pago, y avisa a la profesional al crearse.</t>
  </si>
  <si>
    <t>Corregir el estado inicial del pago y agregar una prueba de reserva y de horario tomado.</t>
  </si>
  <si>
    <t>appointment.service.ts › assertClientNotBlocked; admin.service.ts › setClientBlocked; order.service.ts.</t>
  </si>
  <si>
    <t>appointments.booking › «rechaza reservar si la clienta está bloqueada».</t>
  </si>
  <si>
    <t>Sin prueba: el endpoint de bloqueo y la compra de una clienta bloqueada.</t>
  </si>
  <si>
    <t>Agregar las dos pruebas.</t>
  </si>
  <si>
    <t>order.service.ts › createForClient, applyPaymentResult, updateForAdmin; product.model.ts; rutas /store/products y /client/orders; frontend: StoreSection.tsx, CartDrawer.tsx, StorePage.tsx.</t>
  </si>
  <si>
    <t>whatsapp-payment (pedido, 4 casos); payments.webhook-amount (pedido); payments.webhook-idempotency (pedido, 3 casos).</t>
  </si>
  <si>
    <t>GET /store/products es público y devuelve todos los productos, incluidos los inactivos, con stock y stock mínimo; el filtro de activos lo hace el frontend. Sin prueba: el alta de productos, la creación del pedido con Mercado Pago, las promociones en el carrito y el historial de la clienta.</t>
  </si>
  <si>
    <t>Funciones de apoyo y deuda técnica · lo que el código tiene sin un requisito propio</t>
  </si>
  <si>
    <t>Filtrar en el backend lo que expone la ruta pública y probar la creación de pedidos.</t>
  </si>
  <si>
    <t>Elementos del código que no corresponden a un requisito funcional del catálogo: cada uno está cubierto por un requisito, por un límite, o se declara como apoyo técnico o deuda conocida. El silencio no es una decisión.</t>
  </si>
  <si>
    <t>Función o elemento</t>
  </si>
  <si>
    <t>Dónde está</t>
  </si>
  <si>
    <t>Disposición</t>
  </si>
  <si>
    <t>Qué hay que hacer</t>
  </si>
  <si>
    <t>promotion.controller.ts › assertKindRules; promotion.model.ts › findActive; appointment.service.ts › resolveServicePromotion; order.service.ts › resolvePromotionGroup; clientNotificationService.broadcast.</t>
  </si>
  <si>
    <t>appointments.booking › promociones (4 casos).</t>
  </si>
  <si>
    <t>Autenticación y sesiones (ingreso, cierre, renovación, verificación de correo y recuperación de contraseña)</t>
  </si>
  <si>
    <t>Sin prueba: el alta y la edición de promociones, GET /promotions/public y las promociones en pedidos.</t>
  </si>
  <si>
    <t>auth/*, middlewares/trustedOrigin.ts, middleware/auth.middleware.ts</t>
  </si>
  <si>
    <t>Cubierta por RNF-07</t>
  </si>
  <si>
    <t>Agregar pruebas del alta y de las promociones en pedidos.</t>
  </si>
  <si>
    <t>Probada con auth.test, auth.password, auth.security, auth.sessions y hardening.</t>
  </si>
  <si>
    <t>Restos del ingreso con Google</t>
  </si>
  <si>
    <t>auth/providers/social.provider.ts (objeto vacío), auth/dto/socialLogin.dto.ts (z.never()), variable GOOGLE_CLIENT_ID; en el frontend, SocialLoginButtons.tsx (no verificado)</t>
  </si>
  <si>
    <t>Deuda técnica: código sin uso</t>
  </si>
  <si>
    <t>Eliminar los restos del backend y revisar si el frontend todavía muestra los botones (commit 678cbcc quitó Google OAuth).</t>
  </si>
  <si>
    <t>Subida de imágenes con verificación de la firma del archivo (SVG solo para el administrador)</t>
  </si>
  <si>
    <t>uploads/*</t>
  </si>
  <si>
    <t>Apoyo técnico sin requisito propio</t>
  </si>
  <si>
    <t>Declarar como apoyo de RF-11, RF-19 y RF-28; no se identificó prueba.</t>
  </si>
  <si>
    <t>Chequeo de salud del servicio</t>
  </si>
  <si>
    <t>health.routes.ts (GET /health)</t>
  </si>
  <si>
    <t>Lo usa el monitoreo de disponibilidad; declararlo en el Capítulo IX.</t>
  </si>
  <si>
    <t>Scripts de datos y de carga</t>
  </si>
  <si>
    <t>inventoryMovement.model.ts › create, update, delete; rutas /store/movements; frontend: InventoryTab.tsx.</t>
  </si>
  <si>
    <t>scripts/seed-demo.ts, scripts/load-test.yml, scripts/migration-checksums.mjs</t>
  </si>
  <si>
    <t>seed-demo.ts carga los datos de la demostración y debe figurar en el manual de despliegue. load-test.yml no mide el flujo de reserva (ver RNF-01).</t>
  </si>
  <si>
    <t>Los pedidos pagados descuentan stock sin crear un movimiento: el libro solo refleja las cargas manuales del administrador.</t>
  </si>
  <si>
    <t>Utilidades transversales</t>
  </si>
  <si>
    <t>app/utils/argentinaTime.ts, app/utils/maskEmail.ts, app/config/env.ts</t>
  </si>
  <si>
    <t>Agregar una prueba de entrada, salida y stock negativo; aclarar la brecha en el informe.</t>
  </si>
  <si>
    <t>Cubierta por RNF-08 (hora de Argentina); el resto es apoyo técnico</t>
  </si>
  <si>
    <t>Comisión de las profesionales</t>
  </si>
  <si>
    <t>Professional.commissionType y Professional.commissionPct</t>
  </si>
  <si>
    <t>Cubierta por el límite L-02</t>
  </si>
  <si>
    <t>Los campos se guardan y ningún cálculo los usa.</t>
  </si>
  <si>
    <t>Numeración vieja de requisitos en comentarios y títulos de pruebas</t>
  </si>
  <si>
    <t>appointment.controller.ts, appointment.service.ts, admin.routes.ts, admin.service.ts, register.dto.ts y los títulos de admin.clients</t>
  </si>
  <si>
    <t>Deuda técnica: trazabilidad confusa</t>
  </si>
  <si>
    <t>Renombrar RF-06.01 a RF-08, RF-06.02 a RF-07 y RF-06.03 a RF-09 para que coincidan con este catálogo.</t>
  </si>
  <si>
    <t>Comentario del esquema que remite a una migración inexistente</t>
  </si>
  <si>
    <t>prisma/schema.prisma, modelo Appointment (menciona add_no_double_booking)</t>
  </si>
  <si>
    <t>Deuda técnica: documentación errónea</t>
  </si>
  <si>
    <t>Corregir el comentario: el índice está en las migraciones 20260826153839 y 20261028160000.</t>
  </si>
  <si>
    <t>Tipos de aviso definidos sin emisor</t>
  </si>
  <si>
    <t>NotificationType (new_message, payment_confirmed, reminder, admin_change, system), ClientNotificationType (appointment_reminder, system) y el módulo «chatbot» de ActivityModule</t>
  </si>
  <si>
    <t>Eliminarlos o implementarlos; ver el límite L-09 sobre el recordatorio de turno.</t>
  </si>
  <si>
    <t>jobs/autoPromotions.job.ts › runAutoPromotionsJob, resolveAudience, matchTrigger; autoPromotion.controller.ts › assertRules; AutoPromotionSend (único por campaña, clienta y período).</t>
  </si>
  <si>
    <t>Índice parcial de no superposición</t>
  </si>
  <si>
    <t>Migración 20261028160000_rename_no_show_to_cancelled_no_show</t>
  </si>
  <si>
    <t>timezone-art › jobs diarios en hora de Argentina (3 casos de cumpleaños).</t>
  </si>
  <si>
    <t>Cubierta por RF-01</t>
  </si>
  <si>
    <t>El índice excluye cancelled, no_show y cancelled_no_show; se dejó no_show a propósito.</t>
  </si>
  <si>
    <t>Rutas públicas que exponen más de lo necesario</t>
  </si>
  <si>
    <t>GET /store/products devuelve productos inactivos con stock y stock mínimo</t>
  </si>
  <si>
    <t>El descuento solo se informa en el mail: ninguna función de reserva o de pedido lo aplica. La audiencia manual no filtra por cuenta activa ni por bloqueo. Sin prueba: el hito de turno N, las audiencias, la no repetición del envío y el alta.</t>
  </si>
  <si>
    <t>Brecha abierta de RF-19</t>
  </si>
  <si>
    <t>Filtrar en el backend lo que expone la ruta pública.</t>
  </si>
  <si>
    <t>Historia del chatbot de WhatsApp</t>
  </si>
  <si>
    <t>Tablas conversaciones_whatsapp y mensajes_whatsapp_procesados (migración 20260827162348), borradas en 20261006123000</t>
  </si>
  <si>
    <t>Probar la no repetición y el hito de turno N; declarar el límite L-10.</t>
  </si>
  <si>
    <t>Cubierta por el límite L-03</t>
  </si>
  <si>
    <t>El sistema no tiene chatbot; WhatsApp es solo un enlace de contacto y una forma de coordinar la seña o el pedido.</t>
  </si>
  <si>
    <t>specialEvent.model.ts › findActive (activo y fecha de hoy o posterior en hora de Argentina); specialEvent.controller.ts.</t>
  </si>
  <si>
    <t>timezone-art › «un evento especial de hoy sigue publicado a las 22:30».</t>
  </si>
  <si>
    <t>Sin prueba: el alta, la edición y la baja.</t>
  </si>
  <si>
    <t>Agregar una prueba del alta.</t>
  </si>
  <si>
    <t>professionals/notification.service.ts; clients/client-notification.service.ts (notify, broadcast, markRead); auth/providers/mail.provider.ts; appointment.service.ts › afterCreate y afterCancel.</t>
  </si>
  <si>
    <t>notifications.investigation (3 casos); mail.provider.test.</t>
  </si>
  <si>
    <t>No hay ningún recordatorio de turno a la clienta (ver L-09). Los tipos de aviso new_message, payment_confirmed, reminder, admin_change, appointment_reminder y system están definidos y ninguno se emite. Sin prueba: la lectura de las bandejas y el envío masivo.</t>
  </si>
  <si>
    <t>Eliminar los tipos sin emisor o implementarlos; declarar el límite L-09.</t>
  </si>
  <si>
    <t>review.service.ts › createForClient, getPublicSummary, getPublicList; rutas /client/reviews y /admin/reviews; frontend: ReviewPromptModal.tsx.</t>
  </si>
  <si>
    <t>Ninguna prueba cubre las reseñas.</t>
  </si>
  <si>
    <t>Agregar pruebas de creación, aprobación y una reseña por turno.</t>
  </si>
  <si>
    <t>admin.service.ts › getClientHistory; appointment.service.ts › listClientsForProfessional, getHistoryForProfessional.</t>
  </si>
  <si>
    <t>allergies.consent-visibility (usa GET /professional/clients).</t>
  </si>
  <si>
    <t>El contenido del historial no tiene prueba.</t>
  </si>
  <si>
    <t>Agregar una prueba del historial.</t>
  </si>
  <si>
    <t>activity/activity.service.ts › log, getAll; GET /admin/activity; frontend: ActivityPage.tsx.</t>
  </si>
  <si>
    <t>Se usa como evidencia en admin.clients, appointments.status-log, appointments.arrival-noshow, appointments.balance-payment, polish-removal y payments.webhook-*; el endpoint en sí no tiene prueba.</t>
  </si>
  <si>
    <t>No hay clave foránea a turno ni a clienta: la referencia va dentro del detalle en texto.</t>
  </si>
  <si>
    <t>admin.service.ts › getClientGallery, addClientGalleryPhoto, updateClientGalleryPhoto, deleteClientGalleryPhoto, computeLoyalty; gallery.routes.ts.</t>
  </si>
  <si>
    <t>Cuenta como visita todo turno que no es cancelled, incluido cancelled_no_show.</t>
  </si>
  <si>
    <t>Decidir si una inasistencia cuenta como visita y probarlo.</t>
  </si>
  <si>
    <t>invitation.service.ts › send, validate, registerProfessional; professional.service.ts › toggleActive, toggleRole, syncAvailability; rutas /professional/* y /professionals/*.</t>
  </si>
  <si>
    <t>auth.minor-fixes (invitaciones 7 casos, cambio de rol 7 casos); auth.security (CSRF al invitar); auth.sessions.</t>
  </si>
  <si>
    <t>Sin prueba: perfil, servicios, franjas, onboarding, estadísticas, dashboard y el envío de la invitación. commissionType y commissionPct se guardan y ningún cálculo los usa (límite L-02).</t>
  </si>
  <si>
    <t>Agregar pruebas de perfil y franjas.</t>
  </si>
  <si>
    <t>jobs/inactivityReminder.job.ts › runInactivityReminderJob (cron 0 9 * * *, hora de Argentina); mail inactivityReminder.html.</t>
  </si>
  <si>
    <t>Ninguna identificada.</t>
  </si>
  <si>
    <t>No se identificó una prueba del job.</t>
  </si>
  <si>
    <t>Agregar una prueba con una clienta de 61 días.</t>
  </si>
  <si>
    <t>appointment.service.ts › updateDetailsForClient, registerPolishRemoval; settings (polishRemovalRules).</t>
  </si>
  <si>
    <t>polish-removal (5 casos).</t>
  </si>
  <si>
    <t>La carga de los detalles por la clienta no tiene prueba propia.</t>
  </si>
  <si>
    <t>Agregar una prueba de los detalles.</t>
  </si>
  <si>
    <t>settings/* (datos del negocio, horario semanal, feriados, seña); settings.service.ts › computeDeposit, getPaymentSettings, updatePaymentSettings.</t>
  </si>
  <si>
    <t>appointments.booking (seña de $2.000 y seña 0).</t>
  </si>
  <si>
    <t>Sin prueba: el modo porcentaje y PATCH /settings/payments.</t>
  </si>
  <si>
    <t>contact.controller.ts › jobInterest (POST /contact/job-interest); frontend: JoinUsSection.tsx.</t>
  </si>
  <si>
    <t>No es una solicitud de clientas: la envía una visitante y solo deja una entrada de actividad. El módulo «solicitudes de clientas» no existe.</t>
  </si>
  <si>
    <t>Aclarar en el informe que no existe un módulo de solicitudes de clientas.</t>
  </si>
  <si>
    <t>admin/dashboard.service.ts › compute; professionals/statistics.service.ts; professionals/dashboard.service.ts.</t>
  </si>
  <si>
    <t>No hay una definición escrita de cada indicador.</t>
  </si>
  <si>
    <t>Escribir qué mide cada indicador y probar un caso.</t>
  </si>
  <si>
    <t>sentry.ts › scrubSensitiveData (beforeSend); @sentry/node 11.0.0.</t>
  </si>
  <si>
    <t>sentry.scrub.test.ts (incluye un error de Prisma con allergies «penicilina y látex» que no sale).</t>
  </si>
  <si>
    <t>Las trazas de rendimiento no pasan por el filtro y no se revisaron. Un console.error o throw propio con datos clínicos en texto libre pasaría; hoy ninguno lo hace.</t>
  </si>
  <si>
    <t>Declarar los dos límites en el Capítulo IX.</t>
  </si>
  <si>
    <t>auth/auth.service.ts › login, refresh, startSession, logout; middleware/auth.middleware.ts; middlewares/trustedOrigin.ts (CSRF); límites de intentos en auth.routes.ts; RefreshSession (máximo 10, rotación con margen de 30 segundos). ADR-003.</t>
  </si>
  <si>
    <t>auth.test, auth.password, auth.security, auth.sessions y hardening.</t>
  </si>
  <si>
    <t>Restos del login social sin uso (social.provider.ts vacío, socialLogin.dto.ts y GOOGLE_CLIENT_ID).</t>
  </si>
  <si>
    <t>Eliminar los restos del login social.</t>
  </si>
  <si>
    <t>app/utils/argentinaTime.ts › appointmentInstant, todayArgentinaStr; jobs/scheduler.ts (zona America/Argentina/Buenos_Aires).</t>
  </si>
  <si>
    <t>timezone-art (no-show, reembolso, hoy y jobs en hora de Argentina).</t>
  </si>
  <si>
    <t>payments/middleware/payment-signature.middleware.ts › verificarFirmaMercadoPago; payments/paidAmount.ts › isPaymentAcceptable; updateMany condicional en applyPaymentResult.</t>
  </si>
  <si>
    <t>payments.webhook-amount; payments.webhook-idempotency (7 casos).</t>
  </si>
  <si>
    <t>La verificación de la firma HMAC no tiene prueba.</t>
  </si>
  <si>
    <t>Agregar la prueba de firma válida e inválida.</t>
  </si>
  <si>
    <t>package.json (scripts typecheck:all y test); .github/workflows (canal de integración continua).</t>
  </si>
  <si>
    <t>npm test del 30/10/2026: 32 archivos y 310 tests en verde en el backend; 80 tests en el frontend.</t>
  </si>
  <si>
    <t>No se corrió npm run typecheck:all en la sesión de lectura del código.</t>
  </si>
  <si>
    <t>Guardar la salida de la última corrida del canal con su fecha para el Portafolio.</t>
  </si>
  <si>
    <t>Cambios de la v6 a la v7 · 30/10/2026</t>
  </si>
  <si>
    <t>Lista de todo lo que cambió respecto del libro 20261028_CatalogoRequisitos_Kohler_v6.xlsx, con el motivo. La v6 no se modifica.</t>
  </si>
  <si>
    <t>Hoja</t>
  </si>
  <si>
    <t>Qué cambió</t>
  </si>
  <si>
    <t>Por qué</t>
  </si>
  <si>
    <t>Catálogo</t>
  </si>
  <si>
    <t>RF-01: enunciado y criterio reescritos (franjas por profesional, comparación por hora de inicio, el cancelado por inasistencia no cuenta como activo, caso fuera de franja).</t>
  </si>
  <si>
    <t>Constancia de Loren del 30/10/2026 (pregunta 3) y código (assertWithinAvailability, isSlotConflict).</t>
  </si>
  <si>
    <t>RF-02: aclarado que «pendiente de seña» es un estado derivado de un turno confirmado con la seña sin pagar.</t>
  </si>
  <si>
    <t>Código: displayStatusOf.</t>
  </si>
  <si>
    <t>RF-03: referencia al plazo de liberación de RF-14.</t>
  </si>
  <si>
    <t>Código: runReleaseUnpaidAppointmentsJob.</t>
  </si>
  <si>
    <t>RF-04: criterio con los estados que existen (refunded y sin cambio) y aclaración de que no hay devolución real del dinero.</t>
  </si>
  <si>
    <t>Código: cancelWithGroup y cancelForClient.</t>
  </si>
  <si>
    <t>RF-05: criterio con el nombre cancelled_no_show y el caso de 19 minutos; la llegada la registra la clienta o el personal.</t>
  </si>
  <si>
    <t>Prueba appointments.arrival-noshow (30/10/2026).</t>
  </si>
  <si>
    <t>RF-09: alcance explícito (nombre, apellido, correo y teléfono) y estado pasa a «Pendiente».</t>
  </si>
  <si>
    <t>Código: anonymizeClient; límite L-07.</t>
  </si>
  <si>
    <t>RNF-05: criterio con usuario y clienta afectada, sin «alcance»; enunciado sin «eliminación».</t>
  </si>
  <si>
    <t>Código: anonymizeClient; el sistema no elimina datos físicamente.</t>
  </si>
  <si>
    <t>Se agregan 27 requisitos (RF-13 a RF-34 y RNF-06 a RNF-10) en estado «Pendiente», con origen «EXTRA» cuando no hay hallazgo.</t>
  </si>
  <si>
    <t>Funciones construidas sin requisito (insumos de Claude Code del 30/10/2026).</t>
  </si>
  <si>
    <t>Las constancias de Loren del 30/10/2026 se citan en la trazabilidad de RF-01, RF-03 a RF-07 y RF-12.</t>
  </si>
  <si>
    <t>Formulario firmado, preguntas 3 a 9.</t>
  </si>
  <si>
    <t>Reglas</t>
  </si>
  <si>
    <t>Fuentes de R-01 a R-07 con la constancia escrita; R-04 reescrita; se agregan R-08 a R-21 en estado «Pendiente».</t>
  </si>
  <si>
    <t>Formulario firmado y lectura del código.</t>
  </si>
  <si>
    <t>Límites</t>
  </si>
  <si>
    <t>L-02 y L-06 confirmados por escrito (preguntas 10 y 11); se agregan L-07 a L-10.</t>
  </si>
  <si>
    <t>Formulario firmado; brechas de RF-09, RF-04, RF-24 y RF-22.</t>
  </si>
  <si>
    <t>Entidades</t>
  </si>
  <si>
    <t>Se corrigen las notas de Movimiento de inventario, Campaña automática y Evento especial; se agregan 14 filas para los modelos que faltaban (27 modelos en total).</t>
  </si>
  <si>
    <t>Esquema de Prisma leído el 30/10/2026.</t>
  </si>
  <si>
    <t>Reuniones y datos</t>
  </si>
  <si>
    <t>Se completa la fila «Aprobación del catálogo por Loren» (30/10/2026) y se agrega la fila de las funciones agregadas por la autora.</t>
  </si>
  <si>
    <t>Formulario firmado; declaración de la autora.</t>
  </si>
  <si>
    <t>Iteraciones</t>
  </si>
  <si>
    <t>Se agrega la fila «Fuera de plan» y la aclaración de que las 200 horas son el presupuesto planificado.</t>
  </si>
  <si>
    <t>La autora no llevó registro de horas por función.</t>
  </si>
  <si>
    <t>Trazabilidad</t>
  </si>
  <si>
    <t>Se agregan las columnas G y H (componente y prueba) por hallazgo.</t>
  </si>
  <si>
    <t>Devolución DEV-AE2 N.º 09/2026.</t>
  </si>
  <si>
    <t>Hojas nuevas</t>
  </si>
  <si>
    <t>«Código y pruebas», «Funciones de apoyo y deuda» y «Cambios v7».</t>
  </si>
  <si>
    <t>Devolución DEV-AE2 y consigna de la AE4.</t>
  </si>
  <si>
    <t>Panel</t>
  </si>
  <si>
    <t>Se amplían los rangos de las filas 17 y 18 (Entidades hasta la fila 60) y se agregan los indicadores de las filas 30 a 37.</t>
  </si>
  <si>
    <t>El Panel original llegaba hasta la fila 19 de Entidades.</t>
  </si>
  <si>
    <t>Instrucciones</t>
  </si>
  <si>
    <t>Se actualiza el título y se agrega la nota de la v7.</t>
  </si>
  <si>
    <t>Versionado.</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</si>
</sst>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numFmt numFmtId="165" formatCode="&quot;US$&quot;#,##0.00"/>
    <numFmt numFmtId="166" formatCode="&quot;US$&quot;#,##0"/>
    <numFmt numFmtId="167" formatCode="\$#,##0.00"/>
    <numFmt numFmtId="168" formatCode="0.000"/>
    <numFmt numFmtId="169" formatCode="\$#,##0.0"/>
    <numFmt numFmtId="170" formatCode="dd/mm/yyyy"/>
    <numFmt numFmtId="171" formatCode="0.0"/>
  </numFmts>
  <fonts count="19">
    <font>
      <sz val="11.0"/>
      <color theme="1"/>
      <name val="Calibri"/>
      <scheme val="minor"/>
    </font>
    <font>
      <b/>
      <sz val="13.0"/>
      <color rgb="FF1F3A6E"/>
      <name val="Arial"/>
    </font>
    <font>
      <sz val="11.0"/>
      <color theme="1"/>
      <name val="Calibri"/>
    </font>
    <font>
      <i/>
      <sz val="9.0"/>
      <color rgb="FF5A6A80"/>
      <name val="Arial"/>
    </font>
    <font>
      <b/>
      <sz val="10.0"/>
      <color rgb="FF1F3A6E"/>
      <name val="Arial"/>
    </font>
    <font>
      <b/>
      <sz val="9.0"/>
      <color rgb="FFFFFFFF"/>
      <name val="Arial"/>
    </font>
    <font>
      <sz val="10.0"/>
      <color theme="1"/>
      <name val="Arial"/>
    </font>
    <font>
      <sz val="9.0"/>
      <color theme="1"/>
      <name val="Arial"/>
    </font>
    <font>
      <b/>
      <sz val="9.0"/>
      <color rgb="FF7A5C00"/>
      <name val="Arial"/>
    </font>
    <font>
      <b/>
      <sz val="9.0"/>
      <color theme="1"/>
      <name val="Arial"/>
    </font>
    <font>
      <sz val="9.0"/>
      <color rgb="FF1C2430"/>
      <name val="Arial"/>
    </font>
    <font>
      <b/>
      <sz val="11.0"/>
      <color rgb="FF1F3A6E"/>
      <name val="Arial"/>
    </font>
    <font/>
    <font>
      <b/>
      <sz val="10.0"/>
      <color rgb="FFFFFFFF"/>
      <name val="Arial"/>
    </font>
    <font>
      <b/>
      <sz val="9.0"/>
      <color rgb="FF1C2430"/>
      <name val="Arial"/>
    </font>
    <font>
      <sz val="9.0"/>
      <color rgb="FF0000FF"/>
      <name val="Arial"/>
    </font>
    <font>
      <b/>
      <sz val="10.0"/>
      <color rgb="FF7A5C00"/>
      <name val="Arial"/>
    </font>
    <font>
      <sz val="9.0"/>
      <color rgb="FF5A6A80"/>
      <name val="Arial"/>
    </font>
    <font>
      <color theme="1"/>
      <name val="Calibri"/>
      <scheme val="minor"/>
    </font>
  </fonts>
  <fills count="9">
    <fill>
      <patternFill patternType="none"/>
    </fill>
    <fill>
      <patternFill patternType="lightGray"/>
    </fill>
    <fill>
      <patternFill patternType="solid">
        <fgColor rgb="FFF2F5FA"/>
        <bgColor rgb="FFF2F5FA"/>
      </patternFill>
    </fill>
    <fill>
      <patternFill patternType="solid">
        <fgColor rgb="FF1F3A6E"/>
        <bgColor rgb="FF1F3A6E"/>
      </patternFill>
    </fill>
    <fill>
      <patternFill patternType="solid">
        <fgColor rgb="FFFFF6D6"/>
        <bgColor rgb="FFFFF6D6"/>
      </patternFill>
    </fill>
    <fill>
      <patternFill patternType="solid">
        <fgColor rgb="FFFDF4E2"/>
        <bgColor rgb="FFFDF4E2"/>
      </patternFill>
    </fill>
    <fill>
      <patternFill patternType="solid">
        <fgColor rgb="FFFFFF00"/>
        <bgColor rgb="FFFFFF00"/>
      </patternFill>
    </fill>
    <fill>
      <patternFill patternType="solid">
        <fgColor rgb="FFD9E2F3"/>
        <bgColor rgb="FFD9E2F3"/>
      </patternFill>
    </fill>
    <fill>
      <patternFill patternType="solid">
        <fgColor rgb="FFFBEAEA"/>
        <bgColor rgb="FFFBEAEA"/>
      </patternFill>
    </fill>
  </fills>
  <borders count="18">
    <border/>
    <border>
      <left style="thin">
        <color rgb="FFB9C4D6"/>
      </left>
      <right style="thin">
        <color rgb="FFB9C4D6"/>
      </right>
      <top style="thin">
        <color rgb="FFB9C4D6"/>
      </top>
      <bottom style="thin">
        <color rgb="FFB9C4D6"/>
      </bottom>
    </border>
    <border>
      <left style="thin">
        <color rgb="FFB9C4D6"/>
      </left>
      <right style="thin">
        <color rgb="FFB9C4D6"/>
      </right>
      <top style="thin">
        <color rgb="FFB9C4D6"/>
      </top>
      <bottom style="thin">
        <color rgb="FF000000"/>
      </bottom>
    </border>
    <border>
      <left style="thin">
        <color rgb="FFB9C4D6"/>
      </left>
      <right style="thin">
        <color rgb="FFB9C4D6"/>
      </right>
      <top style="thin">
        <color rgb="FFB9C4D6"/>
      </top>
      <bottom/>
    </border>
    <border>
      <left style="thin">
        <color rgb="FFB9C4D6"/>
      </left>
      <top style="thin">
        <color rgb="FFB9C4D6"/>
      </top>
      <bottom style="thin">
        <color rgb="FFB9C4D6"/>
      </bottom>
    </border>
    <border>
      <top style="thin">
        <color rgb="FFB9C4D6"/>
      </top>
      <bottom style="thin">
        <color rgb="FFB9C4D6"/>
      </bottom>
    </border>
    <border>
      <right style="thin">
        <color rgb="FFB9C4D6"/>
      </right>
      <top style="thin">
        <color rgb="FFB9C4D6"/>
      </top>
      <bottom style="thin">
        <color rgb="FFB9C4D6"/>
      </bottom>
    </border>
    <border>
      <left/>
      <right/>
      <top/>
      <bottom/>
    </border>
    <border>
      <left style="thin">
        <color rgb="FFBFC7D5"/>
      </left>
      <right style="thin">
        <color rgb="FFBFC7D5"/>
      </right>
      <top style="thin">
        <color rgb="FFBFC7D5"/>
      </top>
      <bottom style="thin">
        <color rgb="FFBFC7D5"/>
      </bottom>
    </border>
    <border>
      <left style="thin">
        <color rgb="FFBFC7D5"/>
      </left>
      <top style="thin">
        <color rgb="FFBFC7D5"/>
      </top>
      <bottom style="thin">
        <color rgb="FFBFC7D5"/>
      </bottom>
    </border>
    <border>
      <top style="thin">
        <color rgb="FFBFC7D5"/>
      </top>
      <bottom style="thin">
        <color rgb="FFBFC7D5"/>
      </bottom>
    </border>
    <border>
      <right style="thin">
        <color rgb="FFBFC7D5"/>
      </right>
      <top style="thin">
        <color rgb="FFBFC7D5"/>
      </top>
      <bottom style="thin">
        <color rgb="FFBFC7D5"/>
      </bottom>
    </border>
    <border>
      <left/>
      <top/>
    </border>
    <border>
      <top/>
    </border>
    <border>
      <right/>
      <top/>
    </border>
    <border>
      <left/>
      <bottom/>
    </border>
    <border>
      <bottom/>
    </border>
    <border>
      <right/>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center" wrapText="0"/>
    </xf>
    <xf borderId="0" fillId="0" fontId="2" numFmtId="0" xfId="0" applyAlignment="1" applyFont="1">
      <alignment shrinkToFit="0" vertical="bottom" wrapText="0"/>
    </xf>
    <xf borderId="0" fillId="0" fontId="3" numFmtId="0" xfId="0" applyAlignment="1" applyFont="1">
      <alignment shrinkToFit="0" vertical="top" wrapText="1"/>
    </xf>
    <xf borderId="0" fillId="0" fontId="3" numFmtId="0" xfId="0" applyAlignment="1" applyFont="1">
      <alignment shrinkToFit="0" vertical="center" wrapText="1"/>
    </xf>
    <xf borderId="1" fillId="2" fontId="4" numFmtId="0" xfId="0" applyAlignment="1" applyBorder="1" applyFill="1" applyFont="1">
      <alignment shrinkToFit="0" vertical="center" wrapText="1"/>
    </xf>
    <xf borderId="1" fillId="3" fontId="5" numFmtId="0" xfId="0" applyAlignment="1" applyBorder="1" applyFill="1" applyFont="1">
      <alignment horizontal="center" shrinkToFit="0" vertical="center" wrapText="1"/>
    </xf>
    <xf borderId="1" fillId="2" fontId="6" numFmtId="0" xfId="0" applyAlignment="1" applyBorder="1" applyFill="1" applyFont="1">
      <alignment shrinkToFit="0" vertical="center" wrapText="1"/>
    </xf>
    <xf borderId="0" fillId="0" fontId="2" numFmtId="0" xfId="0" applyAlignment="1" applyFont="1">
      <alignment shrinkToFit="0" vertical="center" wrapText="0"/>
    </xf>
    <xf borderId="1" fillId="0" fontId="4" numFmtId="0" xfId="0" applyAlignment="1" applyBorder="1" applyFont="1">
      <alignment shrinkToFit="0" vertical="center" wrapText="1"/>
    </xf>
    <xf borderId="1" fillId="0" fontId="6" numFmtId="0" xfId="0" applyAlignment="1" applyBorder="1" applyFont="1">
      <alignment shrinkToFit="0" vertical="center" wrapText="1"/>
    </xf>
    <xf borderId="1" fillId="0" fontId="7" numFmtId="0" xfId="0" applyAlignment="1" applyBorder="1" applyFont="1">
      <alignment shrinkToFit="0" vertical="center" wrapText="1"/>
    </xf>
    <xf borderId="1" fillId="4" fontId="8" numFmtId="0" xfId="0" applyAlignment="1" applyBorder="1" applyFill="1" applyFont="1">
      <alignment shrinkToFit="0" vertical="center" wrapText="1"/>
    </xf>
    <xf borderId="0" fillId="0" fontId="4" numFmtId="0" xfId="0" applyAlignment="1" applyFont="1">
      <alignment shrinkToFit="0" vertical="bottom" wrapText="0"/>
    </xf>
    <xf borderId="1" fillId="2" fontId="7" numFmtId="0" xfId="0" applyAlignment="1" applyBorder="1" applyFill="1" applyFont="1">
      <alignment shrinkToFit="0" vertical="center" wrapText="1"/>
    </xf>
    <xf borderId="1" fillId="5" fontId="9" numFmtId="0" xfId="0" applyAlignment="1" applyBorder="1" applyFill="1" applyFont="1">
      <alignment shrinkToFit="0" vertical="bottom" wrapText="0"/>
    </xf>
    <xf borderId="1" fillId="0" fontId="7" numFmtId="0" xfId="0" applyAlignment="1" applyBorder="1" applyFont="1">
      <alignment shrinkToFit="0" vertical="bottom" wrapText="0"/>
    </xf>
    <xf borderId="1" fillId="4" fontId="9" numFmtId="0" xfId="0" applyAlignment="1" applyBorder="1" applyFill="1" applyFont="1">
      <alignment shrinkToFit="0" vertical="bottom" wrapText="0"/>
    </xf>
    <xf borderId="1" fillId="2" fontId="9" numFmtId="0" xfId="0" applyAlignment="1" applyBorder="1" applyFill="1" applyFont="1">
      <alignment shrinkToFit="0" vertical="bottom" wrapText="0"/>
    </xf>
    <xf borderId="2" fillId="0" fontId="7" numFmtId="0" xfId="0" applyAlignment="1" applyBorder="1" applyFont="1">
      <alignment shrinkToFit="0" vertical="center" wrapText="1"/>
    </xf>
    <xf borderId="1" fillId="2" fontId="10" numFmtId="0" xfId="0" applyAlignment="1" applyBorder="1" applyFill="1" applyFont="1">
      <alignment shrinkToFit="0" vertical="top" wrapText="1"/>
    </xf>
    <xf borderId="1" fillId="4" fontId="8" numFmtId="0" xfId="0" applyAlignment="1" applyBorder="1" applyFill="1" applyFont="1">
      <alignment shrinkToFit="0" vertical="top" wrapText="1"/>
    </xf>
    <xf borderId="1" fillId="0" fontId="10" numFmtId="0" xfId="0" applyAlignment="1" applyBorder="1" applyFont="1">
      <alignment shrinkToFit="0" vertical="top" wrapText="1"/>
    </xf>
    <xf borderId="1" fillId="5" fontId="7" numFmtId="0" xfId="0" applyAlignment="1" applyBorder="1" applyFill="1" applyFont="1">
      <alignment shrinkToFit="0" vertical="center" wrapText="1"/>
    </xf>
    <xf borderId="1" fillId="2" fontId="10" numFmtId="0" xfId="0" applyAlignment="1" applyBorder="1" applyFill="1" applyFont="1">
      <alignment shrinkToFit="0" vertical="center" wrapText="1"/>
    </xf>
    <xf borderId="1" fillId="0" fontId="10" numFmtId="0" xfId="0" applyAlignment="1" applyBorder="1" applyFont="1">
      <alignment shrinkToFit="0" vertical="center" wrapText="1"/>
    </xf>
    <xf borderId="1" fillId="6" fontId="7" numFmtId="0" xfId="0" applyAlignment="1" applyBorder="1" applyFill="1" applyFont="1">
      <alignment shrinkToFit="0" vertical="center" wrapText="1"/>
    </xf>
    <xf borderId="3" fillId="2" fontId="7" numFmtId="0" xfId="0" applyAlignment="1" applyBorder="1" applyFill="1" applyFont="1">
      <alignment shrinkToFit="0" vertical="center" wrapText="1"/>
    </xf>
    <xf borderId="0" fillId="0" fontId="10" numFmtId="0" xfId="0" applyAlignment="1" applyFont="1">
      <alignment shrinkToFit="0" vertical="top" wrapText="1"/>
    </xf>
    <xf borderId="0" fillId="0" fontId="11" numFmtId="0" xfId="0" applyAlignment="1" applyFont="1">
      <alignment shrinkToFit="0" vertical="bottom" wrapText="0"/>
    </xf>
    <xf borderId="1" fillId="0" fontId="7" numFmtId="0" xfId="0" applyAlignment="1" applyBorder="1" applyFont="1">
      <alignment shrinkToFit="0" vertical="top" wrapText="1"/>
    </xf>
    <xf borderId="1" fillId="0" fontId="9" numFmtId="0" xfId="0" applyAlignment="1" applyBorder="1" applyFont="1">
      <alignment shrinkToFit="0" vertical="center" wrapText="1"/>
    </xf>
    <xf borderId="4" fillId="0" fontId="7" numFmtId="0" xfId="0" applyAlignment="1" applyBorder="1" applyFont="1">
      <alignment shrinkToFit="0" vertical="center" wrapText="1"/>
    </xf>
    <xf borderId="5" fillId="0" fontId="12" numFmtId="0" xfId="0" applyBorder="1" applyFont="1"/>
    <xf borderId="6" fillId="0" fontId="12" numFmtId="0" xfId="0" applyBorder="1" applyFont="1"/>
    <xf borderId="7" fillId="3" fontId="13" numFmtId="0" xfId="0" applyAlignment="1" applyBorder="1" applyFill="1" applyFont="1">
      <alignment shrinkToFit="0" vertical="center" wrapText="0"/>
    </xf>
    <xf borderId="7" fillId="7" fontId="14" numFmtId="0" xfId="0" applyAlignment="1" applyBorder="1" applyFill="1" applyFont="1">
      <alignment shrinkToFit="0" vertical="center" wrapText="0"/>
    </xf>
    <xf borderId="7" fillId="7" fontId="2" numFmtId="0" xfId="0" applyAlignment="1" applyBorder="1" applyFill="1" applyFont="1">
      <alignment shrinkToFit="0" vertical="center" wrapText="0"/>
    </xf>
    <xf borderId="8" fillId="2" fontId="10" numFmtId="0" xfId="0" applyAlignment="1" applyBorder="1" applyFill="1" applyFont="1">
      <alignment shrinkToFit="0" vertical="center" wrapText="1"/>
    </xf>
    <xf borderId="8" fillId="2" fontId="10" numFmtId="3" xfId="0" applyAlignment="1" applyBorder="1" applyFill="1" applyFont="1" applyNumberFormat="1">
      <alignment horizontal="center" shrinkToFit="0" vertical="center" wrapText="1"/>
    </xf>
    <xf borderId="8" fillId="2" fontId="10" numFmtId="0" xfId="0" applyAlignment="1" applyBorder="1" applyFill="1" applyFont="1">
      <alignment horizontal="center" shrinkToFit="0" vertical="center" wrapText="1"/>
    </xf>
    <xf borderId="8" fillId="2" fontId="10" numFmtId="164" xfId="0" applyAlignment="1" applyBorder="1" applyFill="1" applyFont="1" applyNumberFormat="1">
      <alignment shrinkToFit="0" vertical="center" wrapText="1"/>
    </xf>
    <xf borderId="8" fillId="2" fontId="10" numFmtId="165" xfId="0" applyAlignment="1" applyBorder="1" applyFill="1" applyFont="1" applyNumberFormat="1">
      <alignment shrinkToFit="0" vertical="center" wrapText="1"/>
    </xf>
    <xf borderId="8" fillId="0" fontId="10" numFmtId="0" xfId="0" applyAlignment="1" applyBorder="1" applyFont="1">
      <alignment shrinkToFit="0" vertical="center" wrapText="1"/>
    </xf>
    <xf borderId="8" fillId="0" fontId="10" numFmtId="3" xfId="0" applyAlignment="1" applyBorder="1" applyFont="1" applyNumberFormat="1">
      <alignment horizontal="center" shrinkToFit="0" vertical="center" wrapText="1"/>
    </xf>
    <xf borderId="8" fillId="0" fontId="10" numFmtId="0" xfId="0" applyAlignment="1" applyBorder="1" applyFont="1">
      <alignment horizontal="center" shrinkToFit="0" vertical="center" wrapText="1"/>
    </xf>
    <xf borderId="8" fillId="0" fontId="10" numFmtId="164" xfId="0" applyAlignment="1" applyBorder="1" applyFont="1" applyNumberFormat="1">
      <alignment shrinkToFit="0" vertical="center" wrapText="1"/>
    </xf>
    <xf borderId="8" fillId="0" fontId="10" numFmtId="165" xfId="0" applyAlignment="1" applyBorder="1" applyFont="1" applyNumberFormat="1">
      <alignment shrinkToFit="0" vertical="center" wrapText="1"/>
    </xf>
    <xf borderId="8" fillId="2" fontId="15" numFmtId="0" xfId="0" applyAlignment="1" applyBorder="1" applyFill="1" applyFont="1">
      <alignment horizontal="center" shrinkToFit="0" vertical="center" wrapText="1"/>
    </xf>
    <xf borderId="8" fillId="2" fontId="15" numFmtId="164" xfId="0" applyAlignment="1" applyBorder="1" applyFill="1" applyFont="1" applyNumberFormat="1">
      <alignment shrinkToFit="0" vertical="center" wrapText="1"/>
    </xf>
    <xf borderId="8" fillId="2" fontId="10" numFmtId="166" xfId="0" applyAlignment="1" applyBorder="1" applyFill="1" applyFont="1" applyNumberFormat="1">
      <alignment shrinkToFit="0" vertical="center" wrapText="1"/>
    </xf>
    <xf borderId="8" fillId="0" fontId="15" numFmtId="0" xfId="0" applyAlignment="1" applyBorder="1" applyFont="1">
      <alignment horizontal="center" shrinkToFit="0" vertical="center" wrapText="1"/>
    </xf>
    <xf borderId="8" fillId="0" fontId="15" numFmtId="164" xfId="0" applyAlignment="1" applyBorder="1" applyFont="1" applyNumberFormat="1">
      <alignment shrinkToFit="0" vertical="center" wrapText="1"/>
    </xf>
    <xf borderId="8" fillId="0" fontId="10" numFmtId="166" xfId="0" applyAlignment="1" applyBorder="1" applyFont="1" applyNumberFormat="1">
      <alignment shrinkToFit="0" vertical="center" wrapText="1"/>
    </xf>
    <xf borderId="8" fillId="0" fontId="15" numFmtId="167" xfId="0" applyAlignment="1" applyBorder="1" applyFont="1" applyNumberFormat="1">
      <alignment shrinkToFit="0" vertical="center" wrapText="1"/>
    </xf>
    <xf borderId="8" fillId="0" fontId="15" numFmtId="166" xfId="0" applyAlignment="1" applyBorder="1" applyFont="1" applyNumberFormat="1">
      <alignment shrinkToFit="0" vertical="center" wrapText="1"/>
    </xf>
    <xf borderId="8" fillId="0" fontId="10" numFmtId="167" xfId="0" applyAlignment="1" applyBorder="1" applyFont="1" applyNumberFormat="1">
      <alignment shrinkToFit="0" vertical="center" wrapText="1"/>
    </xf>
    <xf borderId="8" fillId="2" fontId="10" numFmtId="168" xfId="0" applyAlignment="1" applyBorder="1" applyFill="1" applyFont="1" applyNumberFormat="1">
      <alignment horizontal="center" shrinkToFit="0" vertical="center" wrapText="1"/>
    </xf>
    <xf borderId="8" fillId="2" fontId="10" numFmtId="167" xfId="0" applyAlignment="1" applyBorder="1" applyFill="1" applyFont="1" applyNumberFormat="1">
      <alignment shrinkToFit="0" vertical="center" wrapText="1"/>
    </xf>
    <xf borderId="8" fillId="0" fontId="10" numFmtId="168" xfId="0" applyAlignment="1" applyBorder="1" applyFont="1" applyNumberFormat="1">
      <alignment horizontal="center" shrinkToFit="0" vertical="center" wrapText="1"/>
    </xf>
    <xf borderId="8" fillId="4" fontId="14" numFmtId="0" xfId="0" applyAlignment="1" applyBorder="1" applyFill="1" applyFont="1">
      <alignment shrinkToFit="0" vertical="center" wrapText="0"/>
    </xf>
    <xf borderId="8" fillId="4" fontId="14" numFmtId="167" xfId="0" applyAlignment="1" applyBorder="1" applyFill="1" applyFont="1" applyNumberFormat="1">
      <alignment shrinkToFit="0" vertical="center" wrapText="0"/>
    </xf>
    <xf borderId="8" fillId="4" fontId="14" numFmtId="165" xfId="0" applyAlignment="1" applyBorder="1" applyFill="1" applyFont="1" applyNumberFormat="1">
      <alignment shrinkToFit="0" vertical="center" wrapText="0"/>
    </xf>
    <xf borderId="8" fillId="0" fontId="10" numFmtId="2" xfId="0" applyAlignment="1" applyBorder="1" applyFont="1" applyNumberFormat="1">
      <alignment horizontal="center" shrinkToFit="0" vertical="center" wrapText="1"/>
    </xf>
    <xf borderId="7" fillId="7" fontId="2" numFmtId="164" xfId="0" applyAlignment="1" applyBorder="1" applyFill="1" applyFont="1" applyNumberFormat="1">
      <alignment shrinkToFit="0" vertical="center" wrapText="0"/>
    </xf>
    <xf borderId="7" fillId="7" fontId="2" numFmtId="166" xfId="0" applyAlignment="1" applyBorder="1" applyFill="1" applyFont="1" applyNumberFormat="1">
      <alignment shrinkToFit="0" vertical="center" wrapText="0"/>
    </xf>
    <xf borderId="8" fillId="2" fontId="15" numFmtId="166" xfId="0" applyAlignment="1" applyBorder="1" applyFill="1" applyFont="1" applyNumberFormat="1">
      <alignment shrinkToFit="0" vertical="center" wrapText="1"/>
    </xf>
    <xf borderId="8" fillId="2" fontId="15" numFmtId="169" xfId="0" applyAlignment="1" applyBorder="1" applyFill="1" applyFont="1" applyNumberFormat="1">
      <alignment shrinkToFit="0" vertical="center" wrapText="1"/>
    </xf>
    <xf borderId="8" fillId="2" fontId="10" numFmtId="169" xfId="0" applyAlignment="1" applyBorder="1" applyFill="1" applyFont="1" applyNumberFormat="1">
      <alignment shrinkToFit="0" vertical="center" wrapText="1"/>
    </xf>
    <xf borderId="8" fillId="4" fontId="14" numFmtId="164" xfId="0" applyAlignment="1" applyBorder="1" applyFill="1" applyFont="1" applyNumberFormat="1">
      <alignment shrinkToFit="0" vertical="center" wrapText="0"/>
    </xf>
    <xf borderId="8" fillId="2" fontId="10" numFmtId="9" xfId="0" applyAlignment="1" applyBorder="1" applyFill="1" applyFont="1" applyNumberFormat="1">
      <alignment horizontal="center" shrinkToFit="0" vertical="center" wrapText="1"/>
    </xf>
    <xf borderId="8" fillId="4" fontId="14" numFmtId="0" xfId="0" applyAlignment="1" applyBorder="1" applyFill="1" applyFont="1">
      <alignment shrinkToFit="0" vertical="bottom" wrapText="0"/>
    </xf>
    <xf borderId="8" fillId="4" fontId="14" numFmtId="167" xfId="0" applyAlignment="1" applyBorder="1" applyFill="1" applyFont="1" applyNumberFormat="1">
      <alignment shrinkToFit="0" vertical="bottom" wrapText="0"/>
    </xf>
    <xf borderId="8" fillId="4" fontId="14" numFmtId="165" xfId="0" applyAlignment="1" applyBorder="1" applyFill="1" applyFont="1" applyNumberFormat="1">
      <alignment shrinkToFit="0" vertical="bottom" wrapText="0"/>
    </xf>
    <xf borderId="8" fillId="4" fontId="10" numFmtId="0" xfId="0" applyAlignment="1" applyBorder="1" applyFill="1" applyFont="1">
      <alignment shrinkToFit="0" vertical="top" wrapText="1"/>
    </xf>
    <xf borderId="8" fillId="4" fontId="14" numFmtId="3" xfId="0" applyAlignment="1" applyBorder="1" applyFill="1" applyFont="1" applyNumberFormat="1">
      <alignment shrinkToFit="0" vertical="bottom" wrapText="0"/>
    </xf>
    <xf borderId="9" fillId="4" fontId="14" numFmtId="0" xfId="0" applyAlignment="1" applyBorder="1" applyFill="1" applyFont="1">
      <alignment shrinkToFit="0" vertical="bottom" wrapText="0"/>
    </xf>
    <xf borderId="10" fillId="0" fontId="12" numFmtId="0" xfId="0" applyBorder="1" applyFont="1"/>
    <xf borderId="11" fillId="0" fontId="12" numFmtId="0" xfId="0" applyBorder="1" applyFont="1"/>
    <xf borderId="7" fillId="3" fontId="13" numFmtId="0" xfId="0" applyAlignment="1" applyBorder="1" applyFill="1" applyFont="1">
      <alignment shrinkToFit="0" vertical="bottom" wrapText="0"/>
    </xf>
    <xf borderId="8" fillId="0" fontId="15" numFmtId="4" xfId="0" applyAlignment="1" applyBorder="1" applyFont="1" applyNumberFormat="1">
      <alignment horizontal="right" shrinkToFit="0" vertical="top" wrapText="0"/>
    </xf>
    <xf borderId="8" fillId="0" fontId="15" numFmtId="164" xfId="0" applyAlignment="1" applyBorder="1" applyFont="1" applyNumberFormat="1">
      <alignment horizontal="right" shrinkToFit="0" vertical="top" wrapText="0"/>
    </xf>
    <xf borderId="8" fillId="0" fontId="10" numFmtId="3" xfId="0" applyAlignment="1" applyBorder="1" applyFont="1" applyNumberFormat="1">
      <alignment horizontal="right" shrinkToFit="0" vertical="top" wrapText="0"/>
    </xf>
    <xf borderId="8" fillId="0" fontId="15" numFmtId="3" xfId="0" applyAlignment="1" applyBorder="1" applyFont="1" applyNumberFormat="1">
      <alignment horizontal="right" shrinkToFit="0" vertical="top" wrapText="0"/>
    </xf>
    <xf borderId="8" fillId="0" fontId="15" numFmtId="170" xfId="0" applyAlignment="1" applyBorder="1" applyFont="1" applyNumberFormat="1">
      <alignment horizontal="right" shrinkToFit="0" vertical="top" wrapText="0"/>
    </xf>
    <xf borderId="8" fillId="0" fontId="10" numFmtId="2" xfId="0" applyAlignment="1" applyBorder="1" applyFont="1" applyNumberFormat="1">
      <alignment horizontal="right" shrinkToFit="0" vertical="top" wrapText="0"/>
    </xf>
    <xf borderId="8" fillId="0" fontId="15" numFmtId="171" xfId="0" applyAlignment="1" applyBorder="1" applyFont="1" applyNumberFormat="1">
      <alignment horizontal="right" shrinkToFit="0" vertical="top" wrapText="0"/>
    </xf>
    <xf borderId="8" fillId="0" fontId="15" numFmtId="167" xfId="0" applyAlignment="1" applyBorder="1" applyFont="1" applyNumberFormat="1">
      <alignment horizontal="right" shrinkToFit="0" vertical="top" wrapText="0"/>
    </xf>
    <xf borderId="0" fillId="0" fontId="2" numFmtId="167" xfId="0" applyAlignment="1" applyFont="1" applyNumberFormat="1">
      <alignment shrinkToFit="0" vertical="bottom" wrapText="0"/>
    </xf>
    <xf borderId="0" fillId="0" fontId="2" numFmtId="3" xfId="0" applyAlignment="1" applyFont="1" applyNumberFormat="1">
      <alignment shrinkToFit="0" vertical="bottom" wrapText="0"/>
    </xf>
    <xf borderId="8" fillId="0" fontId="15" numFmtId="9" xfId="0" applyAlignment="1" applyBorder="1" applyFont="1" applyNumberFormat="1">
      <alignment horizontal="right" shrinkToFit="0" vertical="top" wrapText="0"/>
    </xf>
    <xf borderId="1" fillId="0" fontId="9" numFmtId="0" xfId="0" applyAlignment="1" applyBorder="1" applyFont="1">
      <alignment horizontal="left" shrinkToFit="0" vertical="center" wrapText="1"/>
    </xf>
    <xf borderId="1" fillId="4" fontId="16" numFmtId="0" xfId="0" applyAlignment="1" applyBorder="1" applyFill="1" applyFont="1">
      <alignment horizontal="center" shrinkToFit="0" vertical="center" wrapText="1"/>
    </xf>
    <xf borderId="1" fillId="0" fontId="17" numFmtId="0" xfId="0" applyAlignment="1" applyBorder="1" applyFont="1">
      <alignment horizontal="left" shrinkToFit="0" vertical="center" wrapText="1"/>
    </xf>
    <xf borderId="12" fillId="8" fontId="7" numFmtId="0" xfId="0" applyAlignment="1" applyBorder="1" applyFill="1" applyFont="1">
      <alignment shrinkToFit="0" vertical="top" wrapText="1"/>
    </xf>
    <xf borderId="13" fillId="0" fontId="12" numFmtId="0" xfId="0" applyBorder="1" applyFont="1"/>
    <xf borderId="14" fillId="0" fontId="12" numFmtId="0" xfId="0" applyBorder="1" applyFont="1"/>
    <xf borderId="15" fillId="0" fontId="12" numFmtId="0" xfId="0" applyBorder="1" applyFont="1"/>
    <xf borderId="16" fillId="0" fontId="12" numFmtId="0" xfId="0" applyBorder="1" applyFont="1"/>
    <xf borderId="17" fillId="0" fontId="12" numFmtId="0" xfId="0" applyBorder="1" applyFont="1"/>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214.14"/>
    <col customWidth="1" min="3" max="6" width="8.71"/>
  </cols>
  <sheetData>
    <row r="1" ht="19.5" customHeight="1">
      <c r="A1" s="1" t="s">
        <v>1</v>
      </c>
      <c r="G1" s="3"/>
      <c r="H1" s="3"/>
      <c r="I1" s="3"/>
      <c r="J1" s="3"/>
      <c r="K1" s="3"/>
      <c r="L1" s="3"/>
      <c r="M1" s="3"/>
      <c r="N1" s="3"/>
      <c r="O1" s="3"/>
      <c r="P1" s="3"/>
      <c r="Q1" s="3"/>
      <c r="R1" s="3"/>
      <c r="S1" s="3"/>
      <c r="T1" s="3"/>
      <c r="U1" s="3"/>
      <c r="V1" s="3"/>
      <c r="W1" s="3"/>
      <c r="X1" s="3"/>
      <c r="Y1" s="3"/>
      <c r="Z1" s="3"/>
    </row>
    <row r="2" ht="25.5" customHeight="1">
      <c r="A2" s="4" t="s">
        <v>5</v>
      </c>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43.5" customHeight="1">
      <c r="A4" s="6" t="s">
        <v>8</v>
      </c>
      <c r="B4" s="8" t="s">
        <v>11</v>
      </c>
      <c r="C4" s="9"/>
      <c r="D4" s="9"/>
      <c r="E4" s="9"/>
      <c r="F4" s="9"/>
      <c r="G4" s="9"/>
      <c r="H4" s="9"/>
      <c r="I4" s="9"/>
      <c r="J4" s="9"/>
      <c r="K4" s="9"/>
      <c r="L4" s="9"/>
      <c r="M4" s="9"/>
      <c r="N4" s="9"/>
      <c r="O4" s="9"/>
      <c r="P4" s="9"/>
      <c r="Q4" s="9"/>
      <c r="R4" s="9"/>
      <c r="S4" s="9"/>
      <c r="T4" s="9"/>
      <c r="U4" s="9"/>
      <c r="V4" s="9"/>
      <c r="W4" s="9"/>
      <c r="X4" s="9"/>
      <c r="Y4" s="9"/>
      <c r="Z4" s="9"/>
    </row>
    <row r="5" ht="43.5" customHeight="1">
      <c r="A5" s="10" t="s">
        <v>26</v>
      </c>
      <c r="B5" s="11" t="s">
        <v>31</v>
      </c>
      <c r="C5" s="9"/>
      <c r="D5" s="9"/>
      <c r="E5" s="9"/>
      <c r="F5" s="9"/>
      <c r="G5" s="9"/>
      <c r="H5" s="9"/>
      <c r="I5" s="9"/>
      <c r="J5" s="9"/>
      <c r="K5" s="9"/>
      <c r="L5" s="9"/>
      <c r="M5" s="9"/>
      <c r="N5" s="9"/>
      <c r="O5" s="9"/>
      <c r="P5" s="9"/>
      <c r="Q5" s="9"/>
      <c r="R5" s="9"/>
      <c r="S5" s="9"/>
      <c r="T5" s="9"/>
      <c r="U5" s="9"/>
      <c r="V5" s="9"/>
      <c r="W5" s="9"/>
      <c r="X5" s="9"/>
      <c r="Y5" s="9"/>
      <c r="Z5" s="9"/>
    </row>
    <row r="6" ht="43.5" customHeight="1">
      <c r="A6" s="6" t="s">
        <v>37</v>
      </c>
      <c r="B6" s="8" t="s">
        <v>38</v>
      </c>
      <c r="C6" s="9"/>
      <c r="D6" s="9"/>
      <c r="E6" s="9"/>
      <c r="F6" s="9"/>
      <c r="G6" s="9"/>
      <c r="H6" s="9"/>
      <c r="I6" s="9"/>
      <c r="J6" s="9"/>
      <c r="K6" s="9"/>
      <c r="L6" s="9"/>
      <c r="M6" s="9"/>
      <c r="N6" s="9"/>
      <c r="O6" s="9"/>
      <c r="P6" s="9"/>
      <c r="Q6" s="9"/>
      <c r="R6" s="9"/>
      <c r="S6" s="9"/>
      <c r="T6" s="9"/>
      <c r="U6" s="9"/>
      <c r="V6" s="9"/>
      <c r="W6" s="9"/>
      <c r="X6" s="9"/>
      <c r="Y6" s="9"/>
      <c r="Z6" s="9"/>
    </row>
    <row r="7" ht="43.5" customHeight="1">
      <c r="A7" s="10" t="s">
        <v>40</v>
      </c>
      <c r="B7" s="11" t="s">
        <v>41</v>
      </c>
      <c r="C7" s="9"/>
      <c r="D7" s="9"/>
      <c r="E7" s="9"/>
      <c r="F7" s="9"/>
      <c r="G7" s="9"/>
      <c r="H7" s="9"/>
      <c r="I7" s="9"/>
      <c r="J7" s="9"/>
      <c r="K7" s="9"/>
      <c r="L7" s="9"/>
      <c r="M7" s="9"/>
      <c r="N7" s="9"/>
      <c r="O7" s="9"/>
      <c r="P7" s="9"/>
      <c r="Q7" s="9"/>
      <c r="R7" s="9"/>
      <c r="S7" s="9"/>
      <c r="T7" s="9"/>
      <c r="U7" s="9"/>
      <c r="V7" s="9"/>
      <c r="W7" s="9"/>
      <c r="X7" s="9"/>
      <c r="Y7" s="9"/>
      <c r="Z7" s="9"/>
    </row>
    <row r="8" ht="43.5" customHeight="1">
      <c r="A8" s="6" t="s">
        <v>42</v>
      </c>
      <c r="B8" s="8" t="s">
        <v>44</v>
      </c>
      <c r="C8" s="9"/>
      <c r="D8" s="9"/>
      <c r="E8" s="9"/>
      <c r="F8" s="9"/>
      <c r="G8" s="9"/>
      <c r="H8" s="9"/>
      <c r="I8" s="9"/>
      <c r="J8" s="9"/>
      <c r="K8" s="9"/>
      <c r="L8" s="9"/>
      <c r="M8" s="9"/>
      <c r="N8" s="9"/>
      <c r="O8" s="9"/>
      <c r="P8" s="9"/>
      <c r="Q8" s="9"/>
      <c r="R8" s="9"/>
      <c r="S8" s="9"/>
      <c r="T8" s="9"/>
      <c r="U8" s="9"/>
      <c r="V8" s="9"/>
      <c r="W8" s="9"/>
      <c r="X8" s="9"/>
      <c r="Y8" s="9"/>
      <c r="Z8" s="9"/>
    </row>
    <row r="9" ht="43.5" customHeight="1">
      <c r="A9" s="10" t="s">
        <v>48</v>
      </c>
      <c r="B9" s="11" t="s">
        <v>50</v>
      </c>
      <c r="C9" s="9"/>
      <c r="D9" s="9"/>
      <c r="E9" s="9"/>
      <c r="F9" s="9"/>
      <c r="G9" s="9"/>
      <c r="H9" s="9"/>
      <c r="I9" s="9"/>
      <c r="J9" s="9"/>
      <c r="K9" s="9"/>
      <c r="L9" s="9"/>
      <c r="M9" s="9"/>
      <c r="N9" s="9"/>
      <c r="O9" s="9"/>
      <c r="P9" s="9"/>
      <c r="Q9" s="9"/>
      <c r="R9" s="9"/>
      <c r="S9" s="9"/>
      <c r="T9" s="9"/>
      <c r="U9" s="9"/>
      <c r="V9" s="9"/>
      <c r="W9" s="9"/>
      <c r="X9" s="9"/>
      <c r="Y9" s="9"/>
      <c r="Z9" s="9"/>
    </row>
    <row r="10" ht="43.5" customHeight="1">
      <c r="A10" s="6" t="s">
        <v>52</v>
      </c>
      <c r="B10" s="8" t="s">
        <v>53</v>
      </c>
      <c r="C10" s="9"/>
      <c r="D10" s="9"/>
      <c r="E10" s="9"/>
      <c r="F10" s="9"/>
      <c r="G10" s="9"/>
      <c r="H10" s="9"/>
      <c r="I10" s="9"/>
      <c r="J10" s="9"/>
      <c r="K10" s="9"/>
      <c r="L10" s="9"/>
      <c r="M10" s="9"/>
      <c r="N10" s="9"/>
      <c r="O10" s="9"/>
      <c r="P10" s="9"/>
      <c r="Q10" s="9"/>
      <c r="R10" s="9"/>
      <c r="S10" s="9"/>
      <c r="T10" s="9"/>
      <c r="U10" s="9"/>
      <c r="V10" s="9"/>
      <c r="W10" s="9"/>
      <c r="X10" s="9"/>
      <c r="Y10" s="9"/>
      <c r="Z10" s="9"/>
    </row>
    <row r="11" ht="15.0"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5.0" customHeight="1">
      <c r="A12" s="14" t="s">
        <v>57</v>
      </c>
      <c r="B12" s="3"/>
      <c r="C12" s="3"/>
      <c r="D12" s="3"/>
      <c r="E12" s="3"/>
      <c r="F12" s="3"/>
      <c r="G12" s="3"/>
      <c r="H12" s="3"/>
      <c r="I12" s="3"/>
      <c r="J12" s="3"/>
      <c r="K12" s="3"/>
      <c r="L12" s="3"/>
      <c r="M12" s="3"/>
      <c r="N12" s="3"/>
      <c r="O12" s="3"/>
      <c r="P12" s="3"/>
      <c r="Q12" s="3"/>
      <c r="R12" s="3"/>
      <c r="S12" s="3"/>
      <c r="T12" s="3"/>
      <c r="U12" s="3"/>
      <c r="V12" s="3"/>
      <c r="W12" s="3"/>
      <c r="X12" s="3"/>
      <c r="Y12" s="3"/>
      <c r="Z12" s="3"/>
    </row>
    <row r="13" ht="15.0" customHeight="1">
      <c r="A13" s="16" t="s">
        <v>68</v>
      </c>
      <c r="B13" s="17" t="s">
        <v>72</v>
      </c>
      <c r="C13" s="3"/>
      <c r="D13" s="3"/>
      <c r="E13" s="3"/>
      <c r="F13" s="3"/>
      <c r="G13" s="3"/>
      <c r="H13" s="3"/>
      <c r="I13" s="3"/>
      <c r="J13" s="3"/>
      <c r="K13" s="3"/>
      <c r="L13" s="3"/>
      <c r="M13" s="3"/>
      <c r="N13" s="3"/>
      <c r="O13" s="3"/>
      <c r="P13" s="3"/>
      <c r="Q13" s="3"/>
      <c r="R13" s="3"/>
      <c r="S13" s="3"/>
      <c r="T13" s="3"/>
      <c r="U13" s="3"/>
      <c r="V13" s="3"/>
      <c r="W13" s="3"/>
      <c r="X13" s="3"/>
      <c r="Y13" s="3"/>
      <c r="Z13" s="3"/>
    </row>
    <row r="14" ht="15.0" customHeight="1">
      <c r="A14" s="18" t="s">
        <v>86</v>
      </c>
      <c r="B14" s="17" t="s">
        <v>89</v>
      </c>
      <c r="C14" s="3"/>
      <c r="D14" s="3"/>
      <c r="E14" s="3"/>
      <c r="F14" s="3"/>
      <c r="G14" s="3"/>
      <c r="H14" s="3"/>
      <c r="I14" s="3"/>
      <c r="J14" s="3"/>
      <c r="K14" s="3"/>
      <c r="L14" s="3"/>
      <c r="M14" s="3"/>
      <c r="N14" s="3"/>
      <c r="O14" s="3"/>
      <c r="P14" s="3"/>
      <c r="Q14" s="3"/>
      <c r="R14" s="3"/>
      <c r="S14" s="3"/>
      <c r="T14" s="3"/>
      <c r="U14" s="3"/>
      <c r="V14" s="3"/>
      <c r="W14" s="3"/>
      <c r="X14" s="3"/>
      <c r="Y14" s="3"/>
      <c r="Z14" s="3"/>
    </row>
    <row r="15" ht="15.0" customHeight="1">
      <c r="A15" s="19" t="s">
        <v>100</v>
      </c>
      <c r="B15" s="17" t="s">
        <v>109</v>
      </c>
      <c r="C15" s="3"/>
      <c r="D15" s="3"/>
      <c r="E15" s="3"/>
      <c r="F15" s="3"/>
      <c r="G15" s="3"/>
      <c r="H15" s="3"/>
      <c r="I15" s="3"/>
      <c r="J15" s="3"/>
      <c r="K15" s="3"/>
      <c r="L15" s="3"/>
      <c r="M15" s="3"/>
      <c r="N15" s="3"/>
      <c r="O15" s="3"/>
      <c r="P15" s="3"/>
      <c r="Q15" s="3"/>
      <c r="R15" s="3"/>
      <c r="S15" s="3"/>
      <c r="T15" s="3"/>
      <c r="U15" s="3"/>
      <c r="V15" s="3"/>
      <c r="W15" s="3"/>
      <c r="X15" s="3"/>
      <c r="Y15" s="3"/>
      <c r="Z15" s="3"/>
    </row>
    <row r="16" ht="15.0"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43.5" customHeight="1">
      <c r="A17" s="10" t="s">
        <v>129</v>
      </c>
      <c r="B17" s="11" t="s">
        <v>131</v>
      </c>
      <c r="C17" s="3"/>
      <c r="D17" s="3"/>
      <c r="E17" s="3"/>
      <c r="F17" s="3"/>
      <c r="G17" s="3"/>
      <c r="H17" s="3"/>
      <c r="I17" s="3"/>
      <c r="J17" s="3"/>
      <c r="K17" s="3"/>
      <c r="L17" s="3"/>
      <c r="M17" s="3"/>
      <c r="N17" s="3"/>
      <c r="O17" s="3"/>
      <c r="P17" s="3"/>
      <c r="Q17" s="3"/>
      <c r="R17" s="3"/>
      <c r="S17" s="3"/>
      <c r="T17" s="3"/>
      <c r="U17" s="3"/>
      <c r="V17" s="3"/>
      <c r="W17" s="3"/>
      <c r="X17" s="3"/>
      <c r="Y17" s="3"/>
      <c r="Z17" s="3"/>
    </row>
    <row r="18" ht="43.5" customHeight="1">
      <c r="A18" s="10" t="s">
        <v>139</v>
      </c>
      <c r="B18" s="11" t="s">
        <v>141</v>
      </c>
      <c r="C18" s="3"/>
      <c r="D18" s="3"/>
      <c r="E18" s="3"/>
      <c r="F18" s="3"/>
      <c r="G18" s="3"/>
      <c r="H18" s="3"/>
      <c r="I18" s="3"/>
      <c r="J18" s="3"/>
      <c r="K18" s="3"/>
      <c r="L18" s="3"/>
      <c r="M18" s="3"/>
      <c r="N18" s="3"/>
      <c r="O18" s="3"/>
      <c r="P18" s="3"/>
      <c r="Q18" s="3"/>
      <c r="R18" s="3"/>
      <c r="S18" s="3"/>
      <c r="T18" s="3"/>
      <c r="U18" s="3"/>
      <c r="V18" s="3"/>
      <c r="W18" s="3"/>
      <c r="X18" s="3"/>
      <c r="Y18" s="3"/>
      <c r="Z18" s="3"/>
    </row>
    <row r="19" ht="43.5" customHeight="1">
      <c r="A19" s="10" t="s">
        <v>150</v>
      </c>
      <c r="B19" s="11" t="s">
        <v>151</v>
      </c>
      <c r="C19" s="3"/>
      <c r="D19" s="3"/>
      <c r="E19" s="3"/>
      <c r="F19" s="3"/>
      <c r="G19" s="3"/>
      <c r="H19" s="3"/>
      <c r="I19" s="3"/>
      <c r="J19" s="3"/>
      <c r="K19" s="3"/>
      <c r="L19" s="3"/>
      <c r="M19" s="3"/>
      <c r="N19" s="3"/>
      <c r="O19" s="3"/>
      <c r="P19" s="3"/>
      <c r="Q19" s="3"/>
      <c r="R19" s="3"/>
      <c r="S19" s="3"/>
      <c r="T19" s="3"/>
      <c r="U19" s="3"/>
      <c r="V19" s="3"/>
      <c r="W19" s="3"/>
      <c r="X19" s="3"/>
      <c r="Y19" s="3"/>
      <c r="Z19" s="3"/>
    </row>
    <row r="20" ht="15.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2">
    <mergeCell ref="A1:F1"/>
    <mergeCell ref="A2:F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29"/>
    <col customWidth="1" min="2" max="2" width="61.71"/>
    <col customWidth="1" min="3" max="3" width="13.0"/>
    <col customWidth="1" min="4" max="4" width="15.57"/>
    <col customWidth="1" min="5" max="5" width="11.0"/>
    <col customWidth="1" min="6" max="6" width="31.0"/>
    <col customWidth="1" min="7" max="7" width="70.14"/>
    <col customWidth="1" min="8" max="8" width="36.0"/>
    <col customWidth="1" min="9" max="9" width="11.86"/>
    <col customWidth="1" min="10" max="10" width="8.43"/>
    <col customWidth="1" min="11" max="11" width="9.71"/>
    <col customWidth="1" min="12" max="12" width="15.0"/>
  </cols>
  <sheetData>
    <row r="1" ht="30.75" customHeight="1">
      <c r="A1" s="2" t="s">
        <v>0</v>
      </c>
      <c r="H1" s="3"/>
      <c r="I1" s="3"/>
      <c r="J1" s="3"/>
      <c r="K1" s="3"/>
      <c r="L1" s="3"/>
      <c r="M1" s="3"/>
      <c r="N1" s="3"/>
      <c r="O1" s="3"/>
      <c r="P1" s="3"/>
      <c r="Q1" s="3"/>
      <c r="R1" s="3"/>
      <c r="S1" s="3"/>
      <c r="T1" s="3"/>
      <c r="U1" s="3"/>
      <c r="V1" s="3"/>
      <c r="W1" s="3"/>
      <c r="X1" s="3"/>
      <c r="Y1" s="3"/>
      <c r="Z1" s="3"/>
    </row>
    <row r="2" ht="30.75" customHeight="1">
      <c r="A2" s="5" t="s">
        <v>6</v>
      </c>
      <c r="H2" s="3"/>
      <c r="I2" s="3"/>
      <c r="J2" s="3"/>
      <c r="K2" s="3"/>
      <c r="L2" s="3"/>
      <c r="M2" s="3"/>
      <c r="N2" s="3"/>
      <c r="O2" s="3"/>
      <c r="P2" s="3"/>
      <c r="Q2" s="3"/>
      <c r="R2" s="3"/>
      <c r="S2" s="3"/>
      <c r="T2" s="3"/>
      <c r="U2" s="3"/>
      <c r="V2" s="3"/>
      <c r="W2" s="3"/>
      <c r="X2" s="3"/>
      <c r="Y2" s="3"/>
      <c r="Z2" s="3"/>
    </row>
    <row r="3" ht="12.0" customHeight="1">
      <c r="A3" s="3"/>
      <c r="B3" s="3"/>
      <c r="C3" s="3"/>
      <c r="D3" s="3"/>
      <c r="E3" s="3"/>
      <c r="F3" s="3"/>
      <c r="G3" s="3"/>
      <c r="H3" s="3"/>
      <c r="I3" s="3"/>
      <c r="J3" s="3"/>
      <c r="K3" s="3"/>
      <c r="L3" s="3"/>
      <c r="M3" s="3"/>
      <c r="N3" s="3"/>
      <c r="O3" s="3"/>
      <c r="P3" s="3"/>
      <c r="Q3" s="3"/>
      <c r="R3" s="3"/>
      <c r="S3" s="3"/>
      <c r="T3" s="3"/>
      <c r="U3" s="3"/>
      <c r="V3" s="3"/>
      <c r="W3" s="3"/>
      <c r="X3" s="3"/>
      <c r="Y3" s="3"/>
      <c r="Z3" s="3"/>
    </row>
    <row r="4" ht="41.25" customHeight="1">
      <c r="A4" s="7" t="s">
        <v>9</v>
      </c>
      <c r="B4" s="7" t="s">
        <v>12</v>
      </c>
      <c r="C4" s="7" t="s">
        <v>13</v>
      </c>
      <c r="D4" s="7" t="s">
        <v>14</v>
      </c>
      <c r="E4" s="7" t="s">
        <v>18</v>
      </c>
      <c r="F4" s="7" t="s">
        <v>20</v>
      </c>
      <c r="G4" s="7" t="s">
        <v>23</v>
      </c>
      <c r="H4" s="7" t="s">
        <v>25</v>
      </c>
      <c r="I4" s="7" t="s">
        <v>27</v>
      </c>
      <c r="J4" s="7" t="s">
        <v>28</v>
      </c>
      <c r="K4" s="7" t="s">
        <v>29</v>
      </c>
      <c r="L4" s="7" t="s">
        <v>30</v>
      </c>
      <c r="M4" s="3"/>
      <c r="N4" s="3"/>
      <c r="O4" s="3"/>
      <c r="P4" s="3"/>
      <c r="Q4" s="3"/>
      <c r="R4" s="3"/>
      <c r="S4" s="3"/>
      <c r="T4" s="3"/>
      <c r="U4" s="3"/>
      <c r="V4" s="3"/>
      <c r="W4" s="3"/>
      <c r="X4" s="3"/>
      <c r="Y4" s="3"/>
      <c r="Z4" s="3"/>
    </row>
    <row r="5" ht="109.5" customHeight="1">
      <c r="A5" s="12" t="s">
        <v>32</v>
      </c>
      <c r="B5" s="12" t="s">
        <v>36</v>
      </c>
      <c r="C5" s="12" t="s">
        <v>39</v>
      </c>
      <c r="D5" s="12"/>
      <c r="E5" s="12" t="s">
        <v>43</v>
      </c>
      <c r="F5" s="12" t="s">
        <v>45</v>
      </c>
      <c r="G5" s="12" t="s">
        <v>46</v>
      </c>
      <c r="H5" s="12" t="s">
        <v>47</v>
      </c>
      <c r="I5" s="12" t="s">
        <v>49</v>
      </c>
      <c r="J5" s="12">
        <v>1.0</v>
      </c>
      <c r="K5" s="12" t="s">
        <v>51</v>
      </c>
      <c r="L5" s="13" t="str">
        <f t="shared" ref="L5:L201" si="1">IF($A5="","",IF(COUNTBLANK($B5:$C5)+COUNTBLANK($E5:$H5)&gt;0,"Faltan campos",IF(AND($C5="No funcional",$D5=""),"Falta categoría",IF($K5="","Falta definir si integra el MVP","Fila completa"))))</f>
        <v>Fila completa</v>
      </c>
      <c r="M5" s="3"/>
      <c r="N5" s="3"/>
      <c r="O5" s="3"/>
      <c r="P5" s="3"/>
      <c r="Q5" s="3"/>
      <c r="R5" s="3"/>
      <c r="S5" s="3"/>
      <c r="T5" s="3"/>
      <c r="U5" s="3"/>
      <c r="V5" s="3"/>
      <c r="W5" s="3"/>
      <c r="X5" s="3"/>
      <c r="Y5" s="3"/>
      <c r="Z5" s="3"/>
    </row>
    <row r="6" ht="75.0" customHeight="1">
      <c r="A6" s="15" t="s">
        <v>77</v>
      </c>
      <c r="B6" s="15" t="s">
        <v>79</v>
      </c>
      <c r="C6" s="15" t="s">
        <v>39</v>
      </c>
      <c r="D6" s="15"/>
      <c r="E6" s="15" t="s">
        <v>43</v>
      </c>
      <c r="F6" s="15" t="s">
        <v>87</v>
      </c>
      <c r="G6" s="15" t="s">
        <v>88</v>
      </c>
      <c r="H6" s="15" t="s">
        <v>78</v>
      </c>
      <c r="I6" s="15" t="s">
        <v>49</v>
      </c>
      <c r="J6" s="15">
        <v>1.0</v>
      </c>
      <c r="K6" s="15" t="s">
        <v>51</v>
      </c>
      <c r="L6" s="13" t="str">
        <f t="shared" si="1"/>
        <v>Fila completa</v>
      </c>
      <c r="M6" s="3"/>
      <c r="N6" s="3"/>
      <c r="O6" s="3"/>
      <c r="P6" s="3"/>
      <c r="Q6" s="3"/>
      <c r="R6" s="3"/>
      <c r="S6" s="3"/>
      <c r="T6" s="3"/>
      <c r="U6" s="3"/>
      <c r="V6" s="3"/>
      <c r="W6" s="3"/>
      <c r="X6" s="3"/>
      <c r="Y6" s="3"/>
      <c r="Z6" s="3"/>
    </row>
    <row r="7" ht="86.25" customHeight="1">
      <c r="A7" s="12" t="s">
        <v>97</v>
      </c>
      <c r="B7" s="12" t="s">
        <v>98</v>
      </c>
      <c r="C7" s="12" t="s">
        <v>39</v>
      </c>
      <c r="D7" s="12"/>
      <c r="E7" s="12" t="s">
        <v>43</v>
      </c>
      <c r="F7" s="12" t="s">
        <v>105</v>
      </c>
      <c r="G7" s="12" t="s">
        <v>107</v>
      </c>
      <c r="H7" s="12" t="s">
        <v>110</v>
      </c>
      <c r="I7" s="12" t="s">
        <v>49</v>
      </c>
      <c r="J7" s="12">
        <v>2.0</v>
      </c>
      <c r="K7" s="12" t="s">
        <v>51</v>
      </c>
      <c r="L7" s="13" t="str">
        <f t="shared" si="1"/>
        <v>Fila completa</v>
      </c>
      <c r="M7" s="3"/>
      <c r="N7" s="3"/>
      <c r="O7" s="3"/>
      <c r="P7" s="3"/>
      <c r="Q7" s="3"/>
      <c r="R7" s="3"/>
      <c r="S7" s="3"/>
      <c r="T7" s="3"/>
      <c r="U7" s="3"/>
      <c r="V7" s="3"/>
      <c r="W7" s="3"/>
      <c r="X7" s="3"/>
      <c r="Y7" s="3"/>
      <c r="Z7" s="3"/>
    </row>
    <row r="8" ht="86.25" customHeight="1">
      <c r="A8" s="15" t="s">
        <v>116</v>
      </c>
      <c r="B8" s="15" t="s">
        <v>117</v>
      </c>
      <c r="C8" s="15" t="s">
        <v>39</v>
      </c>
      <c r="D8" s="15"/>
      <c r="E8" s="15" t="s">
        <v>43</v>
      </c>
      <c r="F8" s="15" t="s">
        <v>120</v>
      </c>
      <c r="G8" s="15" t="s">
        <v>121</v>
      </c>
      <c r="H8" s="15" t="s">
        <v>122</v>
      </c>
      <c r="I8" s="15" t="s">
        <v>49</v>
      </c>
      <c r="J8" s="15">
        <v>2.0</v>
      </c>
      <c r="K8" s="15" t="s">
        <v>51</v>
      </c>
      <c r="L8" s="13" t="str">
        <f t="shared" si="1"/>
        <v>Fila completa</v>
      </c>
      <c r="M8" s="3"/>
      <c r="N8" s="3"/>
      <c r="O8" s="3"/>
      <c r="P8" s="3"/>
      <c r="Q8" s="3"/>
      <c r="R8" s="3"/>
      <c r="S8" s="3"/>
      <c r="T8" s="3"/>
      <c r="U8" s="3"/>
      <c r="V8" s="3"/>
      <c r="W8" s="3"/>
      <c r="X8" s="3"/>
      <c r="Y8" s="3"/>
      <c r="Z8" s="3"/>
    </row>
    <row r="9" ht="75.0" customHeight="1">
      <c r="A9" s="12" t="s">
        <v>144</v>
      </c>
      <c r="B9" s="12" t="s">
        <v>149</v>
      </c>
      <c r="C9" s="12" t="s">
        <v>39</v>
      </c>
      <c r="D9" s="12"/>
      <c r="E9" s="12" t="s">
        <v>161</v>
      </c>
      <c r="F9" s="12" t="s">
        <v>163</v>
      </c>
      <c r="G9" s="12" t="s">
        <v>166</v>
      </c>
      <c r="H9" s="12" t="s">
        <v>171</v>
      </c>
      <c r="I9" s="12" t="s">
        <v>49</v>
      </c>
      <c r="J9" s="12">
        <v>3.0</v>
      </c>
      <c r="K9" s="12" t="s">
        <v>158</v>
      </c>
      <c r="L9" s="13" t="str">
        <f t="shared" si="1"/>
        <v>Fila completa</v>
      </c>
      <c r="M9" s="3"/>
      <c r="N9" s="3"/>
      <c r="O9" s="3"/>
      <c r="P9" s="3"/>
      <c r="Q9" s="3"/>
      <c r="R9" s="3"/>
      <c r="S9" s="3"/>
      <c r="T9" s="3"/>
      <c r="U9" s="3"/>
      <c r="V9" s="3"/>
      <c r="W9" s="3"/>
      <c r="X9" s="3"/>
      <c r="Y9" s="3"/>
      <c r="Z9" s="3"/>
    </row>
    <row r="10" ht="75.0" customHeight="1">
      <c r="A10" s="15" t="s">
        <v>156</v>
      </c>
      <c r="B10" s="15" t="s">
        <v>185</v>
      </c>
      <c r="C10" s="15" t="s">
        <v>39</v>
      </c>
      <c r="D10" s="15"/>
      <c r="E10" s="15" t="s">
        <v>161</v>
      </c>
      <c r="F10" s="15" t="s">
        <v>188</v>
      </c>
      <c r="G10" s="15" t="s">
        <v>190</v>
      </c>
      <c r="H10" s="15" t="s">
        <v>191</v>
      </c>
      <c r="I10" s="15" t="s">
        <v>49</v>
      </c>
      <c r="J10" s="15">
        <v>3.0</v>
      </c>
      <c r="K10" s="15" t="s">
        <v>158</v>
      </c>
      <c r="L10" s="13" t="str">
        <f t="shared" si="1"/>
        <v>Fila completa</v>
      </c>
      <c r="M10" s="3"/>
      <c r="N10" s="3"/>
      <c r="O10" s="3"/>
      <c r="P10" s="3"/>
      <c r="Q10" s="3"/>
      <c r="R10" s="3"/>
      <c r="S10" s="3"/>
      <c r="T10" s="3"/>
      <c r="U10" s="3"/>
      <c r="V10" s="3"/>
      <c r="W10" s="3"/>
      <c r="X10" s="3"/>
      <c r="Y10" s="3"/>
      <c r="Z10" s="3"/>
    </row>
    <row r="11" ht="109.5" customHeight="1">
      <c r="A11" s="12" t="s">
        <v>202</v>
      </c>
      <c r="B11" s="12" t="s">
        <v>205</v>
      </c>
      <c r="C11" s="12" t="s">
        <v>39</v>
      </c>
      <c r="D11" s="12"/>
      <c r="E11" s="12" t="s">
        <v>43</v>
      </c>
      <c r="F11" s="12" t="s">
        <v>210</v>
      </c>
      <c r="G11" s="12" t="s">
        <v>212</v>
      </c>
      <c r="H11" s="12" t="s">
        <v>213</v>
      </c>
      <c r="I11" s="12" t="s">
        <v>49</v>
      </c>
      <c r="J11" s="12">
        <v>2.0</v>
      </c>
      <c r="K11" s="12" t="s">
        <v>51</v>
      </c>
      <c r="L11" s="13" t="str">
        <f t="shared" si="1"/>
        <v>Fila completa</v>
      </c>
      <c r="M11" s="3"/>
      <c r="N11" s="3"/>
      <c r="O11" s="3"/>
      <c r="P11" s="3"/>
      <c r="Q11" s="3"/>
      <c r="R11" s="3"/>
      <c r="S11" s="3"/>
      <c r="T11" s="3"/>
      <c r="U11" s="3"/>
      <c r="V11" s="3"/>
      <c r="W11" s="3"/>
      <c r="X11" s="3"/>
      <c r="Y11" s="3"/>
      <c r="Z11" s="3"/>
    </row>
    <row r="12" ht="72.0" customHeight="1">
      <c r="A12" s="15" t="s">
        <v>197</v>
      </c>
      <c r="B12" s="15" t="s">
        <v>222</v>
      </c>
      <c r="C12" s="15" t="s">
        <v>39</v>
      </c>
      <c r="D12" s="15"/>
      <c r="E12" s="15" t="s">
        <v>43</v>
      </c>
      <c r="F12" s="15" t="s">
        <v>225</v>
      </c>
      <c r="G12" s="15" t="s">
        <v>227</v>
      </c>
      <c r="H12" s="15" t="s">
        <v>193</v>
      </c>
      <c r="I12" s="15" t="s">
        <v>49</v>
      </c>
      <c r="J12" s="15">
        <v>1.0</v>
      </c>
      <c r="K12" s="15" t="s">
        <v>51</v>
      </c>
      <c r="L12" s="13" t="str">
        <f t="shared" si="1"/>
        <v>Fila completa</v>
      </c>
      <c r="M12" s="3"/>
      <c r="N12" s="3"/>
      <c r="O12" s="3"/>
      <c r="P12" s="3"/>
      <c r="Q12" s="3"/>
      <c r="R12" s="3"/>
      <c r="S12" s="3"/>
      <c r="T12" s="3"/>
      <c r="U12" s="3"/>
      <c r="V12" s="3"/>
      <c r="W12" s="3"/>
      <c r="X12" s="3"/>
      <c r="Y12" s="3"/>
      <c r="Z12" s="3"/>
    </row>
    <row r="13" ht="86.25" customHeight="1">
      <c r="A13" s="12" t="s">
        <v>240</v>
      </c>
      <c r="B13" s="12" t="s">
        <v>241</v>
      </c>
      <c r="C13" s="12" t="s">
        <v>39</v>
      </c>
      <c r="D13" s="12"/>
      <c r="E13" s="12" t="s">
        <v>161</v>
      </c>
      <c r="F13" s="12" t="s">
        <v>248</v>
      </c>
      <c r="G13" s="12" t="s">
        <v>251</v>
      </c>
      <c r="H13" s="12" t="s">
        <v>203</v>
      </c>
      <c r="I13" s="12" t="s">
        <v>252</v>
      </c>
      <c r="J13" s="12">
        <v>4.0</v>
      </c>
      <c r="K13" s="12" t="s">
        <v>158</v>
      </c>
      <c r="L13" s="13" t="str">
        <f t="shared" si="1"/>
        <v>Fila completa</v>
      </c>
      <c r="M13" s="3"/>
      <c r="N13" s="3"/>
      <c r="O13" s="3"/>
      <c r="P13" s="3"/>
      <c r="Q13" s="3"/>
      <c r="R13" s="3"/>
      <c r="S13" s="3"/>
      <c r="T13" s="3"/>
      <c r="U13" s="3"/>
      <c r="V13" s="3"/>
      <c r="W13" s="3"/>
      <c r="X13" s="3"/>
      <c r="Y13" s="3"/>
      <c r="Z13" s="3"/>
    </row>
    <row r="14" ht="72.0" customHeight="1">
      <c r="A14" s="15" t="s">
        <v>217</v>
      </c>
      <c r="B14" s="15" t="s">
        <v>260</v>
      </c>
      <c r="C14" s="15" t="s">
        <v>39</v>
      </c>
      <c r="D14" s="15"/>
      <c r="E14" s="15" t="s">
        <v>161</v>
      </c>
      <c r="F14" s="15" t="s">
        <v>264</v>
      </c>
      <c r="G14" s="15" t="s">
        <v>266</v>
      </c>
      <c r="H14" s="15" t="s">
        <v>214</v>
      </c>
      <c r="I14" s="15" t="s">
        <v>49</v>
      </c>
      <c r="J14" s="15">
        <v>3.0</v>
      </c>
      <c r="K14" s="15" t="s">
        <v>158</v>
      </c>
      <c r="L14" s="13" t="str">
        <f t="shared" si="1"/>
        <v>Fila completa</v>
      </c>
      <c r="M14" s="3"/>
      <c r="N14" s="3"/>
      <c r="O14" s="3"/>
      <c r="P14" s="3"/>
      <c r="Q14" s="3"/>
      <c r="R14" s="3"/>
      <c r="S14" s="3"/>
      <c r="T14" s="3"/>
      <c r="U14" s="3"/>
      <c r="V14" s="3"/>
      <c r="W14" s="3"/>
      <c r="X14" s="3"/>
      <c r="Y14" s="3"/>
      <c r="Z14" s="3"/>
    </row>
    <row r="15" ht="72.0" customHeight="1">
      <c r="A15" s="12" t="s">
        <v>236</v>
      </c>
      <c r="B15" s="12" t="s">
        <v>269</v>
      </c>
      <c r="C15" s="12" t="s">
        <v>39</v>
      </c>
      <c r="D15" s="12"/>
      <c r="E15" s="12" t="s">
        <v>43</v>
      </c>
      <c r="F15" s="12" t="s">
        <v>270</v>
      </c>
      <c r="G15" s="12" t="s">
        <v>271</v>
      </c>
      <c r="H15" s="12" t="s">
        <v>272</v>
      </c>
      <c r="I15" s="12" t="s">
        <v>49</v>
      </c>
      <c r="J15" s="12">
        <v>1.0</v>
      </c>
      <c r="K15" s="12" t="s">
        <v>51</v>
      </c>
      <c r="L15" s="13" t="str">
        <f t="shared" si="1"/>
        <v>Fila completa</v>
      </c>
      <c r="M15" s="3"/>
      <c r="N15" s="3"/>
      <c r="O15" s="3"/>
      <c r="P15" s="3"/>
      <c r="Q15" s="3"/>
      <c r="R15" s="3"/>
      <c r="S15" s="3"/>
      <c r="T15" s="3"/>
      <c r="U15" s="3"/>
      <c r="V15" s="3"/>
      <c r="W15" s="3"/>
      <c r="X15" s="3"/>
      <c r="Y15" s="3"/>
      <c r="Z15" s="3"/>
    </row>
    <row r="16" ht="75.0" customHeight="1">
      <c r="A16" s="15" t="s">
        <v>247</v>
      </c>
      <c r="B16" s="15" t="s">
        <v>274</v>
      </c>
      <c r="C16" s="15" t="s">
        <v>39</v>
      </c>
      <c r="D16" s="15"/>
      <c r="E16" s="15" t="s">
        <v>43</v>
      </c>
      <c r="F16" s="15" t="s">
        <v>277</v>
      </c>
      <c r="G16" s="15" t="s">
        <v>278</v>
      </c>
      <c r="H16" s="15" t="s">
        <v>279</v>
      </c>
      <c r="I16" s="15" t="s">
        <v>49</v>
      </c>
      <c r="J16" s="15">
        <v>2.0</v>
      </c>
      <c r="K16" s="15" t="s">
        <v>51</v>
      </c>
      <c r="L16" s="13" t="str">
        <f t="shared" si="1"/>
        <v>Fila completa</v>
      </c>
      <c r="M16" s="3"/>
      <c r="N16" s="3"/>
      <c r="O16" s="3"/>
      <c r="P16" s="3"/>
      <c r="Q16" s="3"/>
      <c r="R16" s="3"/>
      <c r="S16" s="3"/>
      <c r="T16" s="3"/>
      <c r="U16" s="3"/>
      <c r="V16" s="3"/>
      <c r="W16" s="3"/>
      <c r="X16" s="3"/>
      <c r="Y16" s="3"/>
      <c r="Z16" s="3"/>
    </row>
    <row r="17" ht="72.0" customHeight="1">
      <c r="A17" s="12" t="s">
        <v>103</v>
      </c>
      <c r="B17" s="12" t="s">
        <v>283</v>
      </c>
      <c r="C17" s="12" t="s">
        <v>284</v>
      </c>
      <c r="D17" s="12" t="s">
        <v>285</v>
      </c>
      <c r="E17" s="12" t="s">
        <v>43</v>
      </c>
      <c r="F17" s="12" t="s">
        <v>286</v>
      </c>
      <c r="G17" s="12" t="s">
        <v>287</v>
      </c>
      <c r="H17" s="12" t="s">
        <v>288</v>
      </c>
      <c r="I17" s="12" t="s">
        <v>252</v>
      </c>
      <c r="J17" s="12">
        <v>2.0</v>
      </c>
      <c r="K17" s="12" t="s">
        <v>51</v>
      </c>
      <c r="L17" s="13" t="str">
        <f t="shared" si="1"/>
        <v>Fila completa</v>
      </c>
      <c r="M17" s="3"/>
      <c r="N17" s="3"/>
      <c r="O17" s="3"/>
      <c r="P17" s="3"/>
      <c r="Q17" s="3"/>
      <c r="R17" s="3"/>
      <c r="S17" s="3"/>
      <c r="T17" s="3"/>
      <c r="U17" s="3"/>
      <c r="V17" s="3"/>
      <c r="W17" s="3"/>
      <c r="X17" s="3"/>
      <c r="Y17" s="3"/>
      <c r="Z17" s="3"/>
    </row>
    <row r="18" ht="72.0" customHeight="1">
      <c r="A18" s="15" t="s">
        <v>226</v>
      </c>
      <c r="B18" s="15" t="s">
        <v>290</v>
      </c>
      <c r="C18" s="15" t="s">
        <v>284</v>
      </c>
      <c r="D18" s="15" t="s">
        <v>292</v>
      </c>
      <c r="E18" s="15" t="s">
        <v>43</v>
      </c>
      <c r="F18" s="15" t="s">
        <v>294</v>
      </c>
      <c r="G18" s="15" t="s">
        <v>295</v>
      </c>
      <c r="H18" s="15" t="s">
        <v>223</v>
      </c>
      <c r="I18" s="15" t="s">
        <v>49</v>
      </c>
      <c r="J18" s="15">
        <v>1.0</v>
      </c>
      <c r="K18" s="15" t="s">
        <v>51</v>
      </c>
      <c r="L18" s="13" t="str">
        <f t="shared" si="1"/>
        <v>Fila completa</v>
      </c>
      <c r="M18" s="3"/>
      <c r="N18" s="3"/>
      <c r="O18" s="3"/>
      <c r="P18" s="3"/>
      <c r="Q18" s="3"/>
      <c r="R18" s="3"/>
      <c r="S18" s="3"/>
      <c r="T18" s="3"/>
      <c r="U18" s="3"/>
      <c r="V18" s="3"/>
      <c r="W18" s="3"/>
      <c r="X18" s="3"/>
      <c r="Y18" s="3"/>
      <c r="Z18" s="3"/>
    </row>
    <row r="19" ht="86.25" customHeight="1">
      <c r="A19" s="12" t="s">
        <v>297</v>
      </c>
      <c r="B19" s="12" t="s">
        <v>298</v>
      </c>
      <c r="C19" s="12" t="s">
        <v>284</v>
      </c>
      <c r="D19" s="12" t="s">
        <v>301</v>
      </c>
      <c r="E19" s="12" t="s">
        <v>43</v>
      </c>
      <c r="F19" s="12" t="s">
        <v>302</v>
      </c>
      <c r="G19" s="12" t="s">
        <v>303</v>
      </c>
      <c r="H19" s="12" t="s">
        <v>304</v>
      </c>
      <c r="I19" s="12" t="s">
        <v>49</v>
      </c>
      <c r="J19" s="12">
        <v>2.0</v>
      </c>
      <c r="K19" s="12" t="s">
        <v>51</v>
      </c>
      <c r="L19" s="13" t="str">
        <f t="shared" si="1"/>
        <v>Fila completa</v>
      </c>
      <c r="M19" s="3"/>
      <c r="N19" s="3"/>
      <c r="O19" s="3"/>
      <c r="P19" s="3"/>
      <c r="Q19" s="3"/>
      <c r="R19" s="3"/>
      <c r="S19" s="3"/>
      <c r="T19" s="3"/>
      <c r="U19" s="3"/>
      <c r="V19" s="3"/>
      <c r="W19" s="3"/>
      <c r="X19" s="3"/>
      <c r="Y19" s="3"/>
      <c r="Z19" s="3"/>
    </row>
    <row r="20" ht="75.0" customHeight="1">
      <c r="A20" s="15" t="s">
        <v>308</v>
      </c>
      <c r="B20" s="15" t="s">
        <v>309</v>
      </c>
      <c r="C20" s="15" t="s">
        <v>284</v>
      </c>
      <c r="D20" s="15" t="s">
        <v>310</v>
      </c>
      <c r="E20" s="15" t="s">
        <v>43</v>
      </c>
      <c r="F20" s="15" t="s">
        <v>312</v>
      </c>
      <c r="G20" s="15" t="s">
        <v>313</v>
      </c>
      <c r="H20" s="15" t="s">
        <v>123</v>
      </c>
      <c r="I20" s="15" t="s">
        <v>49</v>
      </c>
      <c r="J20" s="15">
        <v>2.0</v>
      </c>
      <c r="K20" s="15" t="s">
        <v>51</v>
      </c>
      <c r="L20" s="13" t="str">
        <f t="shared" si="1"/>
        <v>Fila completa</v>
      </c>
      <c r="M20" s="3"/>
      <c r="N20" s="3"/>
      <c r="O20" s="3"/>
      <c r="P20" s="3"/>
      <c r="Q20" s="3"/>
      <c r="R20" s="3"/>
      <c r="S20" s="3"/>
      <c r="T20" s="3"/>
      <c r="U20" s="3"/>
      <c r="V20" s="3"/>
      <c r="W20" s="3"/>
      <c r="X20" s="3"/>
      <c r="Y20" s="3"/>
      <c r="Z20" s="3"/>
    </row>
    <row r="21" ht="72.0" customHeight="1">
      <c r="A21" s="12" t="s">
        <v>317</v>
      </c>
      <c r="B21" s="12" t="s">
        <v>318</v>
      </c>
      <c r="C21" s="12" t="s">
        <v>284</v>
      </c>
      <c r="D21" s="12" t="s">
        <v>310</v>
      </c>
      <c r="E21" s="12" t="s">
        <v>161</v>
      </c>
      <c r="F21" s="12" t="s">
        <v>320</v>
      </c>
      <c r="G21" s="12" t="s">
        <v>322</v>
      </c>
      <c r="H21" s="12" t="s">
        <v>203</v>
      </c>
      <c r="I21" s="12" t="s">
        <v>49</v>
      </c>
      <c r="J21" s="12">
        <v>4.0</v>
      </c>
      <c r="K21" s="12" t="s">
        <v>158</v>
      </c>
      <c r="L21" s="13" t="str">
        <f t="shared" si="1"/>
        <v>Fila completa</v>
      </c>
      <c r="M21" s="3"/>
      <c r="N21" s="3"/>
      <c r="O21" s="3"/>
      <c r="P21" s="3"/>
      <c r="Q21" s="3"/>
      <c r="R21" s="3"/>
      <c r="S21" s="3"/>
      <c r="T21" s="3"/>
      <c r="U21" s="3"/>
      <c r="V21" s="3"/>
      <c r="W21" s="3"/>
      <c r="X21" s="3"/>
      <c r="Y21" s="3"/>
      <c r="Z21" s="3"/>
    </row>
    <row r="22" ht="75.0" customHeight="1">
      <c r="A22" s="12" t="s">
        <v>324</v>
      </c>
      <c r="B22" s="12" t="s">
        <v>326</v>
      </c>
      <c r="C22" s="12" t="s">
        <v>39</v>
      </c>
      <c r="D22" s="12"/>
      <c r="E22" s="12" t="s">
        <v>161</v>
      </c>
      <c r="F22" s="12" t="s">
        <v>328</v>
      </c>
      <c r="G22" s="12" t="s">
        <v>329</v>
      </c>
      <c r="H22" s="12" t="s">
        <v>330</v>
      </c>
      <c r="I22" s="12" t="s">
        <v>252</v>
      </c>
      <c r="J22" s="12" t="s">
        <v>331</v>
      </c>
      <c r="K22" s="12" t="s">
        <v>158</v>
      </c>
      <c r="L22" s="13" t="str">
        <f t="shared" si="1"/>
        <v>Fila completa</v>
      </c>
      <c r="M22" s="3"/>
      <c r="N22" s="3"/>
      <c r="O22" s="3"/>
      <c r="P22" s="3"/>
      <c r="Q22" s="3"/>
      <c r="R22" s="3"/>
      <c r="S22" s="3"/>
      <c r="T22" s="3"/>
      <c r="U22" s="3"/>
      <c r="V22" s="3"/>
      <c r="W22" s="3"/>
      <c r="X22" s="3"/>
      <c r="Y22" s="3"/>
      <c r="Z22" s="3"/>
    </row>
    <row r="23" ht="63.0" customHeight="1">
      <c r="A23" s="12" t="s">
        <v>335</v>
      </c>
      <c r="B23" s="12" t="s">
        <v>336</v>
      </c>
      <c r="C23" s="12" t="s">
        <v>39</v>
      </c>
      <c r="D23" s="12"/>
      <c r="E23" s="12" t="s">
        <v>161</v>
      </c>
      <c r="F23" s="12" t="s">
        <v>337</v>
      </c>
      <c r="G23" s="12" t="s">
        <v>338</v>
      </c>
      <c r="H23" s="12" t="s">
        <v>330</v>
      </c>
      <c r="I23" s="12" t="s">
        <v>252</v>
      </c>
      <c r="J23" s="12" t="s">
        <v>331</v>
      </c>
      <c r="K23" s="12" t="s">
        <v>158</v>
      </c>
      <c r="L23" s="13" t="str">
        <f t="shared" si="1"/>
        <v>Fila completa</v>
      </c>
      <c r="M23" s="3"/>
      <c r="N23" s="3"/>
      <c r="O23" s="3"/>
      <c r="P23" s="3"/>
      <c r="Q23" s="3"/>
      <c r="R23" s="3"/>
      <c r="S23" s="3"/>
      <c r="T23" s="3"/>
      <c r="U23" s="3"/>
      <c r="V23" s="3"/>
      <c r="W23" s="3"/>
      <c r="X23" s="3"/>
      <c r="Y23" s="3"/>
      <c r="Z23" s="3"/>
    </row>
    <row r="24" ht="75.0" customHeight="1">
      <c r="A24" s="12" t="s">
        <v>342</v>
      </c>
      <c r="B24" s="12" t="s">
        <v>343</v>
      </c>
      <c r="C24" s="12" t="s">
        <v>39</v>
      </c>
      <c r="D24" s="12"/>
      <c r="E24" s="12" t="s">
        <v>344</v>
      </c>
      <c r="F24" s="12" t="s">
        <v>345</v>
      </c>
      <c r="G24" s="12" t="s">
        <v>346</v>
      </c>
      <c r="H24" s="12" t="s">
        <v>330</v>
      </c>
      <c r="I24" s="12" t="s">
        <v>252</v>
      </c>
      <c r="J24" s="12" t="s">
        <v>331</v>
      </c>
      <c r="K24" s="12" t="s">
        <v>158</v>
      </c>
      <c r="L24" s="13" t="str">
        <f t="shared" si="1"/>
        <v>Fila completa</v>
      </c>
      <c r="M24" s="3"/>
      <c r="N24" s="3"/>
      <c r="O24" s="3"/>
      <c r="P24" s="3"/>
      <c r="Q24" s="3"/>
      <c r="R24" s="3"/>
      <c r="S24" s="3"/>
      <c r="T24" s="3"/>
      <c r="U24" s="3"/>
      <c r="V24" s="3"/>
      <c r="W24" s="3"/>
      <c r="X24" s="3"/>
      <c r="Y24" s="3"/>
      <c r="Z24" s="3"/>
    </row>
    <row r="25" ht="60.0" customHeight="1">
      <c r="A25" s="12" t="s">
        <v>350</v>
      </c>
      <c r="B25" s="12" t="s">
        <v>351</v>
      </c>
      <c r="C25" s="12" t="s">
        <v>39</v>
      </c>
      <c r="D25" s="12"/>
      <c r="E25" s="12" t="s">
        <v>344</v>
      </c>
      <c r="F25" s="12" t="s">
        <v>352</v>
      </c>
      <c r="G25" s="12" t="s">
        <v>354</v>
      </c>
      <c r="H25" s="12" t="s">
        <v>330</v>
      </c>
      <c r="I25" s="12" t="s">
        <v>252</v>
      </c>
      <c r="J25" s="12" t="s">
        <v>331</v>
      </c>
      <c r="K25" s="12" t="s">
        <v>158</v>
      </c>
      <c r="L25" s="13" t="str">
        <f t="shared" si="1"/>
        <v>Fila completa</v>
      </c>
      <c r="M25" s="3"/>
      <c r="N25" s="3"/>
      <c r="O25" s="3"/>
      <c r="P25" s="3"/>
      <c r="Q25" s="3"/>
      <c r="R25" s="3"/>
      <c r="S25" s="3"/>
      <c r="T25" s="3"/>
      <c r="U25" s="3"/>
      <c r="V25" s="3"/>
      <c r="W25" s="3"/>
      <c r="X25" s="3"/>
      <c r="Y25" s="3"/>
      <c r="Z25" s="3"/>
    </row>
    <row r="26" ht="63.0" customHeight="1">
      <c r="A26" s="12" t="s">
        <v>357</v>
      </c>
      <c r="B26" s="12" t="s">
        <v>358</v>
      </c>
      <c r="C26" s="12" t="s">
        <v>39</v>
      </c>
      <c r="D26" s="12"/>
      <c r="E26" s="12" t="s">
        <v>344</v>
      </c>
      <c r="F26" s="12" t="s">
        <v>360</v>
      </c>
      <c r="G26" s="12" t="s">
        <v>361</v>
      </c>
      <c r="H26" s="12" t="s">
        <v>330</v>
      </c>
      <c r="I26" s="12" t="s">
        <v>252</v>
      </c>
      <c r="J26" s="12" t="s">
        <v>331</v>
      </c>
      <c r="K26" s="12" t="s">
        <v>158</v>
      </c>
      <c r="L26" s="13" t="str">
        <f t="shared" si="1"/>
        <v>Fila completa</v>
      </c>
      <c r="M26" s="3"/>
      <c r="N26" s="3"/>
      <c r="O26" s="3"/>
      <c r="P26" s="3"/>
      <c r="Q26" s="3"/>
      <c r="R26" s="3"/>
      <c r="S26" s="3"/>
      <c r="T26" s="3"/>
      <c r="U26" s="3"/>
      <c r="V26" s="3"/>
      <c r="W26" s="3"/>
      <c r="X26" s="3"/>
      <c r="Y26" s="3"/>
      <c r="Z26" s="3"/>
    </row>
    <row r="27" ht="60.0" customHeight="1">
      <c r="A27" s="12" t="s">
        <v>364</v>
      </c>
      <c r="B27" s="12" t="s">
        <v>365</v>
      </c>
      <c r="C27" s="12" t="s">
        <v>39</v>
      </c>
      <c r="D27" s="12"/>
      <c r="E27" s="12" t="s">
        <v>344</v>
      </c>
      <c r="F27" s="12" t="s">
        <v>366</v>
      </c>
      <c r="G27" s="12" t="s">
        <v>367</v>
      </c>
      <c r="H27" s="12" t="s">
        <v>330</v>
      </c>
      <c r="I27" s="12" t="s">
        <v>252</v>
      </c>
      <c r="J27" s="12" t="s">
        <v>331</v>
      </c>
      <c r="K27" s="12" t="s">
        <v>158</v>
      </c>
      <c r="L27" s="13" t="str">
        <f t="shared" si="1"/>
        <v>Fila completa</v>
      </c>
      <c r="M27" s="3"/>
      <c r="N27" s="3"/>
      <c r="O27" s="3"/>
      <c r="P27" s="3"/>
      <c r="Q27" s="3"/>
      <c r="R27" s="3"/>
      <c r="S27" s="3"/>
      <c r="T27" s="3"/>
      <c r="U27" s="3"/>
      <c r="V27" s="3"/>
      <c r="W27" s="3"/>
      <c r="X27" s="3"/>
      <c r="Y27" s="3"/>
      <c r="Z27" s="3"/>
    </row>
    <row r="28" ht="86.25" customHeight="1">
      <c r="A28" s="12" t="s">
        <v>368</v>
      </c>
      <c r="B28" s="12" t="s">
        <v>369</v>
      </c>
      <c r="C28" s="12" t="s">
        <v>39</v>
      </c>
      <c r="D28" s="12"/>
      <c r="E28" s="12" t="s">
        <v>344</v>
      </c>
      <c r="F28" s="12" t="s">
        <v>370</v>
      </c>
      <c r="G28" s="12" t="s">
        <v>371</v>
      </c>
      <c r="H28" s="12" t="s">
        <v>372</v>
      </c>
      <c r="I28" s="12" t="s">
        <v>252</v>
      </c>
      <c r="J28" s="12" t="s">
        <v>331</v>
      </c>
      <c r="K28" s="12" t="s">
        <v>158</v>
      </c>
      <c r="L28" s="13" t="str">
        <f t="shared" si="1"/>
        <v>Fila completa</v>
      </c>
      <c r="M28" s="3"/>
      <c r="N28" s="3"/>
      <c r="O28" s="3"/>
      <c r="P28" s="3"/>
      <c r="Q28" s="3"/>
      <c r="R28" s="3"/>
      <c r="S28" s="3"/>
      <c r="T28" s="3"/>
      <c r="U28" s="3"/>
      <c r="V28" s="3"/>
      <c r="W28" s="3"/>
      <c r="X28" s="3"/>
      <c r="Y28" s="3"/>
      <c r="Z28" s="3"/>
    </row>
    <row r="29" ht="63.0" customHeight="1">
      <c r="A29" s="12" t="s">
        <v>373</v>
      </c>
      <c r="B29" s="12" t="s">
        <v>374</v>
      </c>
      <c r="C29" s="12" t="s">
        <v>39</v>
      </c>
      <c r="D29" s="12"/>
      <c r="E29" s="12" t="s">
        <v>344</v>
      </c>
      <c r="F29" s="12" t="s">
        <v>375</v>
      </c>
      <c r="G29" s="12" t="s">
        <v>376</v>
      </c>
      <c r="H29" s="12" t="s">
        <v>372</v>
      </c>
      <c r="I29" s="12" t="s">
        <v>252</v>
      </c>
      <c r="J29" s="12" t="s">
        <v>331</v>
      </c>
      <c r="K29" s="12" t="s">
        <v>158</v>
      </c>
      <c r="L29" s="13" t="str">
        <f t="shared" si="1"/>
        <v>Fila completa</v>
      </c>
      <c r="M29" s="3"/>
      <c r="N29" s="3"/>
      <c r="O29" s="3"/>
      <c r="P29" s="3"/>
      <c r="Q29" s="3"/>
      <c r="R29" s="3"/>
      <c r="S29" s="3"/>
      <c r="T29" s="3"/>
      <c r="U29" s="3"/>
      <c r="V29" s="3"/>
      <c r="W29" s="3"/>
      <c r="X29" s="3"/>
      <c r="Y29" s="3"/>
      <c r="Z29" s="3"/>
    </row>
    <row r="30" ht="60.0" customHeight="1">
      <c r="A30" s="12" t="s">
        <v>377</v>
      </c>
      <c r="B30" s="12" t="s">
        <v>378</v>
      </c>
      <c r="C30" s="12" t="s">
        <v>39</v>
      </c>
      <c r="D30" s="12"/>
      <c r="E30" s="12" t="s">
        <v>344</v>
      </c>
      <c r="F30" s="12" t="s">
        <v>379</v>
      </c>
      <c r="G30" s="12" t="s">
        <v>380</v>
      </c>
      <c r="H30" s="12" t="s">
        <v>372</v>
      </c>
      <c r="I30" s="12" t="s">
        <v>252</v>
      </c>
      <c r="J30" s="12" t="s">
        <v>331</v>
      </c>
      <c r="K30" s="12" t="s">
        <v>158</v>
      </c>
      <c r="L30" s="13" t="str">
        <f t="shared" si="1"/>
        <v>Fila completa</v>
      </c>
      <c r="M30" s="3"/>
      <c r="N30" s="3"/>
      <c r="O30" s="3"/>
      <c r="P30" s="3"/>
      <c r="Q30" s="3"/>
      <c r="R30" s="3"/>
      <c r="S30" s="3"/>
      <c r="T30" s="3"/>
      <c r="U30" s="3"/>
      <c r="V30" s="3"/>
      <c r="W30" s="3"/>
      <c r="X30" s="3"/>
      <c r="Y30" s="3"/>
      <c r="Z30" s="3"/>
    </row>
    <row r="31" ht="63.0" customHeight="1">
      <c r="A31" s="12" t="s">
        <v>381</v>
      </c>
      <c r="B31" s="12" t="s">
        <v>382</v>
      </c>
      <c r="C31" s="12" t="s">
        <v>39</v>
      </c>
      <c r="D31" s="12"/>
      <c r="E31" s="12" t="s">
        <v>344</v>
      </c>
      <c r="F31" s="12" t="s">
        <v>383</v>
      </c>
      <c r="G31" s="12" t="s">
        <v>384</v>
      </c>
      <c r="H31" s="12" t="s">
        <v>385</v>
      </c>
      <c r="I31" s="12" t="s">
        <v>252</v>
      </c>
      <c r="J31" s="12" t="s">
        <v>331</v>
      </c>
      <c r="K31" s="12" t="s">
        <v>158</v>
      </c>
      <c r="L31" s="13" t="str">
        <f t="shared" si="1"/>
        <v>Fila completa</v>
      </c>
      <c r="M31" s="3"/>
      <c r="N31" s="3"/>
      <c r="O31" s="3"/>
      <c r="P31" s="3"/>
      <c r="Q31" s="3"/>
      <c r="R31" s="3"/>
      <c r="S31" s="3"/>
      <c r="T31" s="3"/>
      <c r="U31" s="3"/>
      <c r="V31" s="3"/>
      <c r="W31" s="3"/>
      <c r="X31" s="3"/>
      <c r="Y31" s="3"/>
      <c r="Z31" s="3"/>
    </row>
    <row r="32" ht="60.0" customHeight="1">
      <c r="A32" s="12" t="s">
        <v>387</v>
      </c>
      <c r="B32" s="12" t="s">
        <v>388</v>
      </c>
      <c r="C32" s="12" t="s">
        <v>39</v>
      </c>
      <c r="D32" s="12"/>
      <c r="E32" s="12" t="s">
        <v>344</v>
      </c>
      <c r="F32" s="12" t="s">
        <v>390</v>
      </c>
      <c r="G32" s="12" t="s">
        <v>393</v>
      </c>
      <c r="H32" s="12" t="s">
        <v>385</v>
      </c>
      <c r="I32" s="12" t="s">
        <v>252</v>
      </c>
      <c r="J32" s="12" t="s">
        <v>331</v>
      </c>
      <c r="K32" s="12" t="s">
        <v>158</v>
      </c>
      <c r="L32" s="13" t="str">
        <f t="shared" si="1"/>
        <v>Fila completa</v>
      </c>
      <c r="M32" s="3"/>
      <c r="N32" s="3"/>
      <c r="O32" s="3"/>
      <c r="P32" s="3"/>
      <c r="Q32" s="3"/>
      <c r="R32" s="3"/>
      <c r="S32" s="3"/>
      <c r="T32" s="3"/>
      <c r="U32" s="3"/>
      <c r="V32" s="3"/>
      <c r="W32" s="3"/>
      <c r="X32" s="3"/>
      <c r="Y32" s="3"/>
      <c r="Z32" s="3"/>
    </row>
    <row r="33" ht="75.0" customHeight="1">
      <c r="A33" s="12" t="s">
        <v>395</v>
      </c>
      <c r="B33" s="12" t="s">
        <v>397</v>
      </c>
      <c r="C33" s="12" t="s">
        <v>39</v>
      </c>
      <c r="D33" s="12"/>
      <c r="E33" s="12" t="s">
        <v>161</v>
      </c>
      <c r="F33" s="12" t="s">
        <v>398</v>
      </c>
      <c r="G33" s="12" t="s">
        <v>399</v>
      </c>
      <c r="H33" s="12" t="s">
        <v>330</v>
      </c>
      <c r="I33" s="12" t="s">
        <v>252</v>
      </c>
      <c r="J33" s="12" t="s">
        <v>331</v>
      </c>
      <c r="K33" s="12" t="s">
        <v>158</v>
      </c>
      <c r="L33" s="13" t="str">
        <f t="shared" si="1"/>
        <v>Fila completa</v>
      </c>
      <c r="M33" s="3"/>
      <c r="N33" s="3"/>
      <c r="O33" s="3"/>
      <c r="P33" s="3"/>
      <c r="Q33" s="3"/>
      <c r="R33" s="3"/>
      <c r="S33" s="3"/>
      <c r="T33" s="3"/>
      <c r="U33" s="3"/>
      <c r="V33" s="3"/>
      <c r="W33" s="3"/>
      <c r="X33" s="3"/>
      <c r="Y33" s="3"/>
      <c r="Z33" s="3"/>
    </row>
    <row r="34" ht="63.0" customHeight="1">
      <c r="A34" s="12" t="s">
        <v>404</v>
      </c>
      <c r="B34" s="12" t="s">
        <v>405</v>
      </c>
      <c r="C34" s="12" t="s">
        <v>39</v>
      </c>
      <c r="D34" s="12"/>
      <c r="E34" s="12" t="s">
        <v>344</v>
      </c>
      <c r="F34" s="12" t="s">
        <v>408</v>
      </c>
      <c r="G34" s="12" t="s">
        <v>409</v>
      </c>
      <c r="H34" s="12" t="s">
        <v>330</v>
      </c>
      <c r="I34" s="12" t="s">
        <v>252</v>
      </c>
      <c r="J34" s="12" t="s">
        <v>331</v>
      </c>
      <c r="K34" s="12" t="s">
        <v>158</v>
      </c>
      <c r="L34" s="13" t="str">
        <f t="shared" si="1"/>
        <v>Fila completa</v>
      </c>
      <c r="M34" s="3"/>
      <c r="N34" s="3"/>
      <c r="O34" s="3"/>
      <c r="P34" s="3"/>
      <c r="Q34" s="3"/>
      <c r="R34" s="3"/>
      <c r="S34" s="3"/>
      <c r="T34" s="3"/>
      <c r="U34" s="3"/>
      <c r="V34" s="3"/>
      <c r="W34" s="3"/>
      <c r="X34" s="3"/>
      <c r="Y34" s="3"/>
      <c r="Z34" s="3"/>
    </row>
    <row r="35" ht="75.0" customHeight="1">
      <c r="A35" s="12" t="s">
        <v>412</v>
      </c>
      <c r="B35" s="12" t="s">
        <v>413</v>
      </c>
      <c r="C35" s="12" t="s">
        <v>39</v>
      </c>
      <c r="D35" s="12"/>
      <c r="E35" s="12" t="s">
        <v>344</v>
      </c>
      <c r="F35" s="12" t="s">
        <v>416</v>
      </c>
      <c r="G35" s="12" t="s">
        <v>417</v>
      </c>
      <c r="H35" s="12" t="s">
        <v>330</v>
      </c>
      <c r="I35" s="12" t="s">
        <v>252</v>
      </c>
      <c r="J35" s="12" t="s">
        <v>331</v>
      </c>
      <c r="K35" s="12" t="s">
        <v>158</v>
      </c>
      <c r="L35" s="13" t="str">
        <f t="shared" si="1"/>
        <v>Fila completa</v>
      </c>
      <c r="M35" s="3"/>
      <c r="N35" s="3"/>
      <c r="O35" s="3"/>
      <c r="P35" s="3"/>
      <c r="Q35" s="3"/>
      <c r="R35" s="3"/>
      <c r="S35" s="3"/>
      <c r="T35" s="3"/>
      <c r="U35" s="3"/>
      <c r="V35" s="3"/>
      <c r="W35" s="3"/>
      <c r="X35" s="3"/>
      <c r="Y35" s="3"/>
      <c r="Z35" s="3"/>
    </row>
    <row r="36" ht="60.0" customHeight="1">
      <c r="A36" s="12" t="s">
        <v>420</v>
      </c>
      <c r="B36" s="12" t="s">
        <v>421</v>
      </c>
      <c r="C36" s="12" t="s">
        <v>39</v>
      </c>
      <c r="D36" s="12"/>
      <c r="E36" s="12" t="s">
        <v>161</v>
      </c>
      <c r="F36" s="12" t="s">
        <v>422</v>
      </c>
      <c r="G36" s="12" t="s">
        <v>424</v>
      </c>
      <c r="H36" s="12" t="s">
        <v>330</v>
      </c>
      <c r="I36" s="12" t="s">
        <v>252</v>
      </c>
      <c r="J36" s="12" t="s">
        <v>331</v>
      </c>
      <c r="K36" s="12" t="s">
        <v>158</v>
      </c>
      <c r="L36" s="13" t="str">
        <f t="shared" si="1"/>
        <v>Fila completa</v>
      </c>
      <c r="M36" s="3"/>
      <c r="N36" s="3"/>
      <c r="O36" s="3"/>
      <c r="P36" s="3"/>
      <c r="Q36" s="3"/>
      <c r="R36" s="3"/>
      <c r="S36" s="3"/>
      <c r="T36" s="3"/>
      <c r="U36" s="3"/>
      <c r="V36" s="3"/>
      <c r="W36" s="3"/>
      <c r="X36" s="3"/>
      <c r="Y36" s="3"/>
      <c r="Z36" s="3"/>
    </row>
    <row r="37" ht="60.0" customHeight="1">
      <c r="A37" s="12" t="s">
        <v>428</v>
      </c>
      <c r="B37" s="12" t="s">
        <v>429</v>
      </c>
      <c r="C37" s="12" t="s">
        <v>39</v>
      </c>
      <c r="D37" s="12"/>
      <c r="E37" s="12" t="s">
        <v>344</v>
      </c>
      <c r="F37" s="12" t="s">
        <v>430</v>
      </c>
      <c r="G37" s="12" t="s">
        <v>431</v>
      </c>
      <c r="H37" s="12" t="s">
        <v>330</v>
      </c>
      <c r="I37" s="12" t="s">
        <v>252</v>
      </c>
      <c r="J37" s="12" t="s">
        <v>331</v>
      </c>
      <c r="K37" s="12" t="s">
        <v>158</v>
      </c>
      <c r="L37" s="13" t="str">
        <f t="shared" si="1"/>
        <v>Fila completa</v>
      </c>
      <c r="M37" s="3"/>
      <c r="N37" s="3"/>
      <c r="O37" s="3"/>
      <c r="P37" s="3"/>
      <c r="Q37" s="3"/>
      <c r="R37" s="3"/>
      <c r="S37" s="3"/>
      <c r="T37" s="3"/>
      <c r="U37" s="3"/>
      <c r="V37" s="3"/>
      <c r="W37" s="3"/>
      <c r="X37" s="3"/>
      <c r="Y37" s="3"/>
      <c r="Z37" s="3"/>
    </row>
    <row r="38" ht="75.0" customHeight="1">
      <c r="A38" s="12" t="s">
        <v>434</v>
      </c>
      <c r="B38" s="12" t="s">
        <v>436</v>
      </c>
      <c r="C38" s="12" t="s">
        <v>39</v>
      </c>
      <c r="D38" s="12"/>
      <c r="E38" s="12" t="s">
        <v>161</v>
      </c>
      <c r="F38" s="12" t="s">
        <v>438</v>
      </c>
      <c r="G38" s="12" t="s">
        <v>439</v>
      </c>
      <c r="H38" s="12" t="s">
        <v>330</v>
      </c>
      <c r="I38" s="12" t="s">
        <v>252</v>
      </c>
      <c r="J38" s="12" t="s">
        <v>331</v>
      </c>
      <c r="K38" s="12" t="s">
        <v>158</v>
      </c>
      <c r="L38" s="13" t="str">
        <f t="shared" si="1"/>
        <v>Fila completa</v>
      </c>
      <c r="M38" s="3"/>
      <c r="N38" s="3"/>
      <c r="O38" s="3"/>
      <c r="P38" s="3"/>
      <c r="Q38" s="3"/>
      <c r="R38" s="3"/>
      <c r="S38" s="3"/>
      <c r="T38" s="3"/>
      <c r="U38" s="3"/>
      <c r="V38" s="3"/>
      <c r="W38" s="3"/>
      <c r="X38" s="3"/>
      <c r="Y38" s="3"/>
      <c r="Z38" s="3"/>
    </row>
    <row r="39" ht="60.0" customHeight="1">
      <c r="A39" s="12" t="s">
        <v>442</v>
      </c>
      <c r="B39" s="12" t="s">
        <v>443</v>
      </c>
      <c r="C39" s="12" t="s">
        <v>39</v>
      </c>
      <c r="D39" s="12"/>
      <c r="E39" s="12" t="s">
        <v>344</v>
      </c>
      <c r="F39" s="12" t="s">
        <v>446</v>
      </c>
      <c r="G39" s="12" t="s">
        <v>447</v>
      </c>
      <c r="H39" s="12" t="s">
        <v>330</v>
      </c>
      <c r="I39" s="12" t="s">
        <v>252</v>
      </c>
      <c r="J39" s="12" t="s">
        <v>331</v>
      </c>
      <c r="K39" s="12" t="s">
        <v>158</v>
      </c>
      <c r="L39" s="13" t="str">
        <f t="shared" si="1"/>
        <v>Fila completa</v>
      </c>
      <c r="M39" s="3"/>
      <c r="N39" s="3"/>
      <c r="O39" s="3"/>
      <c r="P39" s="3"/>
      <c r="Q39" s="3"/>
      <c r="R39" s="3"/>
      <c r="S39" s="3"/>
      <c r="T39" s="3"/>
      <c r="U39" s="3"/>
      <c r="V39" s="3"/>
      <c r="W39" s="3"/>
      <c r="X39" s="3"/>
      <c r="Y39" s="3"/>
      <c r="Z39" s="3"/>
    </row>
    <row r="40" ht="63.0" customHeight="1">
      <c r="A40" s="12" t="s">
        <v>450</v>
      </c>
      <c r="B40" s="12" t="s">
        <v>452</v>
      </c>
      <c r="C40" s="12" t="s">
        <v>39</v>
      </c>
      <c r="D40" s="12"/>
      <c r="E40" s="12" t="s">
        <v>344</v>
      </c>
      <c r="F40" s="12" t="s">
        <v>454</v>
      </c>
      <c r="G40" s="12" t="s">
        <v>455</v>
      </c>
      <c r="H40" s="12" t="s">
        <v>330</v>
      </c>
      <c r="I40" s="12" t="s">
        <v>252</v>
      </c>
      <c r="J40" s="12" t="s">
        <v>331</v>
      </c>
      <c r="K40" s="12" t="s">
        <v>158</v>
      </c>
      <c r="L40" s="13" t="str">
        <f t="shared" si="1"/>
        <v>Fila completa</v>
      </c>
      <c r="M40" s="3"/>
      <c r="N40" s="3"/>
      <c r="O40" s="3"/>
      <c r="P40" s="3"/>
      <c r="Q40" s="3"/>
      <c r="R40" s="3"/>
      <c r="S40" s="3"/>
      <c r="T40" s="3"/>
      <c r="U40" s="3"/>
      <c r="V40" s="3"/>
      <c r="W40" s="3"/>
      <c r="X40" s="3"/>
      <c r="Y40" s="3"/>
      <c r="Z40" s="3"/>
    </row>
    <row r="41" ht="60.0" customHeight="1">
      <c r="A41" s="12" t="s">
        <v>458</v>
      </c>
      <c r="B41" s="12" t="s">
        <v>459</v>
      </c>
      <c r="C41" s="12" t="s">
        <v>39</v>
      </c>
      <c r="D41" s="12"/>
      <c r="E41" s="12" t="s">
        <v>161</v>
      </c>
      <c r="F41" s="12" t="s">
        <v>461</v>
      </c>
      <c r="G41" s="12" t="s">
        <v>463</v>
      </c>
      <c r="H41" s="12" t="s">
        <v>330</v>
      </c>
      <c r="I41" s="12" t="s">
        <v>252</v>
      </c>
      <c r="J41" s="12" t="s">
        <v>331</v>
      </c>
      <c r="K41" s="12" t="s">
        <v>158</v>
      </c>
      <c r="L41" s="13" t="str">
        <f t="shared" si="1"/>
        <v>Fila completa</v>
      </c>
      <c r="M41" s="3"/>
      <c r="N41" s="3"/>
      <c r="O41" s="3"/>
      <c r="P41" s="3"/>
      <c r="Q41" s="3"/>
      <c r="R41" s="3"/>
      <c r="S41" s="3"/>
      <c r="T41" s="3"/>
      <c r="U41" s="3"/>
      <c r="V41" s="3"/>
      <c r="W41" s="3"/>
      <c r="X41" s="3"/>
      <c r="Y41" s="3"/>
      <c r="Z41" s="3"/>
    </row>
    <row r="42" ht="60.0" customHeight="1">
      <c r="A42" s="12" t="s">
        <v>464</v>
      </c>
      <c r="B42" s="12" t="s">
        <v>465</v>
      </c>
      <c r="C42" s="12" t="s">
        <v>39</v>
      </c>
      <c r="D42" s="12"/>
      <c r="E42" s="12" t="s">
        <v>344</v>
      </c>
      <c r="F42" s="12" t="s">
        <v>466</v>
      </c>
      <c r="G42" s="12" t="s">
        <v>467</v>
      </c>
      <c r="H42" s="12" t="s">
        <v>330</v>
      </c>
      <c r="I42" s="12" t="s">
        <v>252</v>
      </c>
      <c r="J42" s="12" t="s">
        <v>331</v>
      </c>
      <c r="K42" s="12" t="s">
        <v>158</v>
      </c>
      <c r="L42" s="13" t="str">
        <f t="shared" si="1"/>
        <v>Fila completa</v>
      </c>
      <c r="M42" s="3"/>
      <c r="N42" s="3"/>
      <c r="O42" s="3"/>
      <c r="P42" s="3"/>
      <c r="Q42" s="3"/>
      <c r="R42" s="3"/>
      <c r="S42" s="3"/>
      <c r="T42" s="3"/>
      <c r="U42" s="3"/>
      <c r="V42" s="3"/>
      <c r="W42" s="3"/>
      <c r="X42" s="3"/>
      <c r="Y42" s="3"/>
      <c r="Z42" s="3"/>
    </row>
    <row r="43" ht="60.0" customHeight="1">
      <c r="A43" s="12" t="s">
        <v>468</v>
      </c>
      <c r="B43" s="12" t="s">
        <v>469</v>
      </c>
      <c r="C43" s="12" t="s">
        <v>39</v>
      </c>
      <c r="D43" s="12"/>
      <c r="E43" s="12" t="s">
        <v>344</v>
      </c>
      <c r="F43" s="12" t="s">
        <v>470</v>
      </c>
      <c r="G43" s="12" t="s">
        <v>471</v>
      </c>
      <c r="H43" s="12" t="s">
        <v>330</v>
      </c>
      <c r="I43" s="12" t="s">
        <v>252</v>
      </c>
      <c r="J43" s="12" t="s">
        <v>331</v>
      </c>
      <c r="K43" s="12" t="s">
        <v>158</v>
      </c>
      <c r="L43" s="13" t="str">
        <f t="shared" si="1"/>
        <v>Fila completa</v>
      </c>
      <c r="M43" s="3"/>
      <c r="N43" s="3"/>
      <c r="O43" s="3"/>
      <c r="P43" s="3"/>
      <c r="Q43" s="3"/>
      <c r="R43" s="3"/>
      <c r="S43" s="3"/>
      <c r="T43" s="3"/>
      <c r="U43" s="3"/>
      <c r="V43" s="3"/>
      <c r="W43" s="3"/>
      <c r="X43" s="3"/>
      <c r="Y43" s="3"/>
      <c r="Z43" s="3"/>
    </row>
    <row r="44" ht="97.5" customHeight="1">
      <c r="A44" s="12" t="s">
        <v>472</v>
      </c>
      <c r="B44" s="12" t="s">
        <v>473</v>
      </c>
      <c r="C44" s="12" t="s">
        <v>284</v>
      </c>
      <c r="D44" s="12" t="s">
        <v>301</v>
      </c>
      <c r="E44" s="12" t="s">
        <v>161</v>
      </c>
      <c r="F44" s="12" t="s">
        <v>474</v>
      </c>
      <c r="G44" s="12" t="s">
        <v>475</v>
      </c>
      <c r="H44" s="12" t="s">
        <v>476</v>
      </c>
      <c r="I44" s="12" t="s">
        <v>252</v>
      </c>
      <c r="J44" s="12" t="s">
        <v>331</v>
      </c>
      <c r="K44" s="12" t="s">
        <v>158</v>
      </c>
      <c r="L44" s="13" t="str">
        <f t="shared" si="1"/>
        <v>Fila completa</v>
      </c>
      <c r="M44" s="3"/>
      <c r="N44" s="3"/>
      <c r="O44" s="3"/>
      <c r="P44" s="3"/>
      <c r="Q44" s="3"/>
      <c r="R44" s="3"/>
      <c r="S44" s="3"/>
      <c r="T44" s="3"/>
      <c r="U44" s="3"/>
      <c r="V44" s="3"/>
      <c r="W44" s="3"/>
      <c r="X44" s="3"/>
      <c r="Y44" s="3"/>
      <c r="Z44" s="3"/>
    </row>
    <row r="45" ht="63.0" customHeight="1">
      <c r="A45" s="12" t="s">
        <v>477</v>
      </c>
      <c r="B45" s="12" t="s">
        <v>478</v>
      </c>
      <c r="C45" s="12" t="s">
        <v>284</v>
      </c>
      <c r="D45" s="12" t="s">
        <v>301</v>
      </c>
      <c r="E45" s="12" t="s">
        <v>161</v>
      </c>
      <c r="F45" s="12" t="s">
        <v>479</v>
      </c>
      <c r="G45" s="12" t="s">
        <v>480</v>
      </c>
      <c r="H45" s="12" t="s">
        <v>481</v>
      </c>
      <c r="I45" s="12" t="s">
        <v>252</v>
      </c>
      <c r="J45" s="12" t="s">
        <v>331</v>
      </c>
      <c r="K45" s="12" t="s">
        <v>158</v>
      </c>
      <c r="L45" s="13" t="str">
        <f t="shared" si="1"/>
        <v>Fila completa</v>
      </c>
      <c r="M45" s="3"/>
      <c r="N45" s="3"/>
      <c r="O45" s="3"/>
      <c r="P45" s="3"/>
      <c r="Q45" s="3"/>
      <c r="R45" s="3"/>
      <c r="S45" s="3"/>
      <c r="T45" s="3"/>
      <c r="U45" s="3"/>
      <c r="V45" s="3"/>
      <c r="W45" s="3"/>
      <c r="X45" s="3"/>
      <c r="Y45" s="3"/>
      <c r="Z45" s="3"/>
    </row>
    <row r="46" ht="60.0" customHeight="1">
      <c r="A46" s="12" t="s">
        <v>482</v>
      </c>
      <c r="B46" s="12" t="s">
        <v>483</v>
      </c>
      <c r="C46" s="12" t="s">
        <v>284</v>
      </c>
      <c r="D46" s="12" t="s">
        <v>484</v>
      </c>
      <c r="E46" s="12" t="s">
        <v>161</v>
      </c>
      <c r="F46" s="12" t="s">
        <v>485</v>
      </c>
      <c r="G46" s="12" t="s">
        <v>486</v>
      </c>
      <c r="H46" s="12" t="s">
        <v>487</v>
      </c>
      <c r="I46" s="12" t="s">
        <v>252</v>
      </c>
      <c r="J46" s="12" t="s">
        <v>331</v>
      </c>
      <c r="K46" s="12" t="s">
        <v>158</v>
      </c>
      <c r="L46" s="13" t="str">
        <f t="shared" si="1"/>
        <v>Fila completa</v>
      </c>
      <c r="M46" s="3"/>
      <c r="N46" s="3"/>
      <c r="O46" s="3"/>
      <c r="P46" s="3"/>
      <c r="Q46" s="3"/>
      <c r="R46" s="3"/>
      <c r="S46" s="3"/>
      <c r="T46" s="3"/>
      <c r="U46" s="3"/>
      <c r="V46" s="3"/>
      <c r="W46" s="3"/>
      <c r="X46" s="3"/>
      <c r="Y46" s="3"/>
      <c r="Z46" s="3"/>
    </row>
    <row r="47" ht="63.0" customHeight="1">
      <c r="A47" s="12" t="s">
        <v>488</v>
      </c>
      <c r="B47" s="12" t="s">
        <v>489</v>
      </c>
      <c r="C47" s="12" t="s">
        <v>284</v>
      </c>
      <c r="D47" s="12" t="s">
        <v>301</v>
      </c>
      <c r="E47" s="12" t="s">
        <v>161</v>
      </c>
      <c r="F47" s="12" t="s">
        <v>490</v>
      </c>
      <c r="G47" s="12" t="s">
        <v>491</v>
      </c>
      <c r="H47" s="12" t="s">
        <v>492</v>
      </c>
      <c r="I47" s="12" t="s">
        <v>252</v>
      </c>
      <c r="J47" s="12" t="s">
        <v>331</v>
      </c>
      <c r="K47" s="12" t="s">
        <v>158</v>
      </c>
      <c r="L47" s="13" t="str">
        <f t="shared" si="1"/>
        <v>Fila completa</v>
      </c>
      <c r="M47" s="3"/>
      <c r="N47" s="3"/>
      <c r="O47" s="3"/>
      <c r="P47" s="3"/>
      <c r="Q47" s="3"/>
      <c r="R47" s="3"/>
      <c r="S47" s="3"/>
      <c r="T47" s="3"/>
      <c r="U47" s="3"/>
      <c r="V47" s="3"/>
      <c r="W47" s="3"/>
      <c r="X47" s="3"/>
      <c r="Y47" s="3"/>
      <c r="Z47" s="3"/>
    </row>
    <row r="48" ht="60.0" customHeight="1">
      <c r="A48" s="12" t="s">
        <v>493</v>
      </c>
      <c r="B48" s="12" t="s">
        <v>494</v>
      </c>
      <c r="C48" s="12" t="s">
        <v>284</v>
      </c>
      <c r="D48" s="12" t="s">
        <v>495</v>
      </c>
      <c r="E48" s="12" t="s">
        <v>161</v>
      </c>
      <c r="F48" s="12" t="s">
        <v>496</v>
      </c>
      <c r="G48" s="12" t="s">
        <v>497</v>
      </c>
      <c r="H48" s="12" t="s">
        <v>498</v>
      </c>
      <c r="I48" s="12" t="s">
        <v>252</v>
      </c>
      <c r="J48" s="12" t="s">
        <v>331</v>
      </c>
      <c r="K48" s="12" t="s">
        <v>158</v>
      </c>
      <c r="L48" s="13" t="str">
        <f t="shared" si="1"/>
        <v>Fila completa</v>
      </c>
      <c r="M48" s="3"/>
      <c r="N48" s="3"/>
      <c r="O48" s="3"/>
      <c r="P48" s="3"/>
      <c r="Q48" s="3"/>
      <c r="R48" s="3"/>
      <c r="S48" s="3"/>
      <c r="T48" s="3"/>
      <c r="U48" s="3"/>
      <c r="V48" s="3"/>
      <c r="W48" s="3"/>
      <c r="X48" s="3"/>
      <c r="Y48" s="3"/>
      <c r="Z48" s="3"/>
    </row>
    <row r="49" ht="33.75" customHeight="1">
      <c r="A49" s="23"/>
      <c r="B49" s="23"/>
      <c r="C49" s="23"/>
      <c r="D49" s="23"/>
      <c r="E49" s="23"/>
      <c r="F49" s="23"/>
      <c r="G49" s="23"/>
      <c r="H49" s="23"/>
      <c r="I49" s="23"/>
      <c r="J49" s="23"/>
      <c r="K49" s="23"/>
      <c r="L49" s="22" t="str">
        <f t="shared" si="1"/>
        <v/>
      </c>
      <c r="M49" s="3"/>
      <c r="N49" s="3"/>
      <c r="O49" s="3"/>
      <c r="P49" s="3"/>
      <c r="Q49" s="3"/>
      <c r="R49" s="3"/>
      <c r="S49" s="3"/>
      <c r="T49" s="3"/>
      <c r="U49" s="3"/>
      <c r="V49" s="3"/>
      <c r="W49" s="3"/>
      <c r="X49" s="3"/>
      <c r="Y49" s="3"/>
      <c r="Z49" s="3"/>
    </row>
    <row r="50" ht="33.75" customHeight="1">
      <c r="A50" s="21"/>
      <c r="B50" s="21"/>
      <c r="C50" s="21"/>
      <c r="D50" s="21"/>
      <c r="E50" s="21"/>
      <c r="F50" s="21"/>
      <c r="G50" s="21"/>
      <c r="H50" s="21"/>
      <c r="I50" s="21"/>
      <c r="J50" s="21"/>
      <c r="K50" s="21"/>
      <c r="L50" s="22" t="str">
        <f t="shared" si="1"/>
        <v/>
      </c>
      <c r="M50" s="3"/>
      <c r="N50" s="3"/>
      <c r="O50" s="3"/>
      <c r="P50" s="3"/>
      <c r="Q50" s="3"/>
      <c r="R50" s="3"/>
      <c r="S50" s="3"/>
      <c r="T50" s="3"/>
      <c r="U50" s="3"/>
      <c r="V50" s="3"/>
      <c r="W50" s="3"/>
      <c r="X50" s="3"/>
      <c r="Y50" s="3"/>
      <c r="Z50" s="3"/>
    </row>
    <row r="51" ht="33.75" customHeight="1">
      <c r="A51" s="23"/>
      <c r="B51" s="23"/>
      <c r="C51" s="23"/>
      <c r="D51" s="23"/>
      <c r="E51" s="23"/>
      <c r="F51" s="23"/>
      <c r="G51" s="23"/>
      <c r="H51" s="23"/>
      <c r="I51" s="23"/>
      <c r="J51" s="23"/>
      <c r="K51" s="23"/>
      <c r="L51" s="22" t="str">
        <f t="shared" si="1"/>
        <v/>
      </c>
      <c r="M51" s="3"/>
      <c r="N51" s="3"/>
      <c r="O51" s="3"/>
      <c r="P51" s="3"/>
      <c r="Q51" s="3"/>
      <c r="R51" s="3"/>
      <c r="S51" s="3"/>
      <c r="T51" s="3"/>
      <c r="U51" s="3"/>
      <c r="V51" s="3"/>
      <c r="W51" s="3"/>
      <c r="X51" s="3"/>
      <c r="Y51" s="3"/>
      <c r="Z51" s="3"/>
    </row>
    <row r="52" ht="33.75" customHeight="1">
      <c r="A52" s="21"/>
      <c r="B52" s="21"/>
      <c r="C52" s="21"/>
      <c r="D52" s="21"/>
      <c r="E52" s="21"/>
      <c r="F52" s="21"/>
      <c r="G52" s="21"/>
      <c r="H52" s="21"/>
      <c r="I52" s="21"/>
      <c r="J52" s="21"/>
      <c r="K52" s="21"/>
      <c r="L52" s="22" t="str">
        <f t="shared" si="1"/>
        <v/>
      </c>
      <c r="M52" s="3"/>
      <c r="N52" s="3"/>
      <c r="O52" s="3"/>
      <c r="P52" s="3"/>
      <c r="Q52" s="3"/>
      <c r="R52" s="3"/>
      <c r="S52" s="3"/>
      <c r="T52" s="3"/>
      <c r="U52" s="3"/>
      <c r="V52" s="3"/>
      <c r="W52" s="3"/>
      <c r="X52" s="3"/>
      <c r="Y52" s="3"/>
      <c r="Z52" s="3"/>
    </row>
    <row r="53" ht="33.75" customHeight="1">
      <c r="A53" s="23"/>
      <c r="B53" s="23"/>
      <c r="C53" s="23"/>
      <c r="D53" s="23"/>
      <c r="E53" s="23"/>
      <c r="F53" s="23"/>
      <c r="G53" s="23"/>
      <c r="H53" s="23"/>
      <c r="I53" s="23"/>
      <c r="J53" s="23"/>
      <c r="K53" s="23"/>
      <c r="L53" s="22" t="str">
        <f t="shared" si="1"/>
        <v/>
      </c>
      <c r="M53" s="3"/>
      <c r="N53" s="3"/>
      <c r="O53" s="3"/>
      <c r="P53" s="3"/>
      <c r="Q53" s="3"/>
      <c r="R53" s="3"/>
      <c r="S53" s="3"/>
      <c r="T53" s="3"/>
      <c r="U53" s="3"/>
      <c r="V53" s="3"/>
      <c r="W53" s="3"/>
      <c r="X53" s="3"/>
      <c r="Y53" s="3"/>
      <c r="Z53" s="3"/>
    </row>
    <row r="54" ht="33.75" customHeight="1">
      <c r="A54" s="21"/>
      <c r="B54" s="21"/>
      <c r="C54" s="21"/>
      <c r="D54" s="21"/>
      <c r="E54" s="21"/>
      <c r="F54" s="21"/>
      <c r="G54" s="21"/>
      <c r="H54" s="21"/>
      <c r="I54" s="21"/>
      <c r="J54" s="21"/>
      <c r="K54" s="21"/>
      <c r="L54" s="22" t="str">
        <f t="shared" si="1"/>
        <v/>
      </c>
      <c r="M54" s="3"/>
      <c r="N54" s="3"/>
      <c r="O54" s="3"/>
      <c r="P54" s="3"/>
      <c r="Q54" s="3"/>
      <c r="R54" s="3"/>
      <c r="S54" s="3"/>
      <c r="T54" s="3"/>
      <c r="U54" s="3"/>
      <c r="V54" s="3"/>
      <c r="W54" s="3"/>
      <c r="X54" s="3"/>
      <c r="Y54" s="3"/>
      <c r="Z54" s="3"/>
    </row>
    <row r="55" ht="33.75" customHeight="1">
      <c r="A55" s="23"/>
      <c r="B55" s="23"/>
      <c r="C55" s="23"/>
      <c r="D55" s="23"/>
      <c r="E55" s="23"/>
      <c r="F55" s="23"/>
      <c r="G55" s="23"/>
      <c r="H55" s="23"/>
      <c r="I55" s="23"/>
      <c r="J55" s="23"/>
      <c r="K55" s="23"/>
      <c r="L55" s="22" t="str">
        <f t="shared" si="1"/>
        <v/>
      </c>
      <c r="M55" s="3"/>
      <c r="N55" s="3"/>
      <c r="O55" s="3"/>
      <c r="P55" s="3"/>
      <c r="Q55" s="3"/>
      <c r="R55" s="3"/>
      <c r="S55" s="3"/>
      <c r="T55" s="3"/>
      <c r="U55" s="3"/>
      <c r="V55" s="3"/>
      <c r="W55" s="3"/>
      <c r="X55" s="3"/>
      <c r="Y55" s="3"/>
      <c r="Z55" s="3"/>
    </row>
    <row r="56" ht="33.75" customHeight="1">
      <c r="A56" s="21"/>
      <c r="B56" s="21"/>
      <c r="C56" s="21"/>
      <c r="D56" s="21"/>
      <c r="E56" s="21"/>
      <c r="F56" s="21"/>
      <c r="G56" s="21"/>
      <c r="H56" s="21"/>
      <c r="I56" s="21"/>
      <c r="J56" s="21"/>
      <c r="K56" s="21"/>
      <c r="L56" s="22" t="str">
        <f t="shared" si="1"/>
        <v/>
      </c>
      <c r="M56" s="3"/>
      <c r="N56" s="3"/>
      <c r="O56" s="3"/>
      <c r="P56" s="3"/>
      <c r="Q56" s="3"/>
      <c r="R56" s="3"/>
      <c r="S56" s="3"/>
      <c r="T56" s="3"/>
      <c r="U56" s="3"/>
      <c r="V56" s="3"/>
      <c r="W56" s="3"/>
      <c r="X56" s="3"/>
      <c r="Y56" s="3"/>
      <c r="Z56" s="3"/>
    </row>
    <row r="57" ht="33.75" customHeight="1">
      <c r="A57" s="23"/>
      <c r="B57" s="23"/>
      <c r="C57" s="23"/>
      <c r="D57" s="23"/>
      <c r="E57" s="23"/>
      <c r="F57" s="23"/>
      <c r="G57" s="23"/>
      <c r="H57" s="23"/>
      <c r="I57" s="23"/>
      <c r="J57" s="23"/>
      <c r="K57" s="23"/>
      <c r="L57" s="22" t="str">
        <f t="shared" si="1"/>
        <v/>
      </c>
      <c r="M57" s="3"/>
      <c r="N57" s="3"/>
      <c r="O57" s="3"/>
      <c r="P57" s="3"/>
      <c r="Q57" s="3"/>
      <c r="R57" s="3"/>
      <c r="S57" s="3"/>
      <c r="T57" s="3"/>
      <c r="U57" s="3"/>
      <c r="V57" s="3"/>
      <c r="W57" s="3"/>
      <c r="X57" s="3"/>
      <c r="Y57" s="3"/>
      <c r="Z57" s="3"/>
    </row>
    <row r="58" ht="33.75" customHeight="1">
      <c r="A58" s="21"/>
      <c r="B58" s="21"/>
      <c r="C58" s="21"/>
      <c r="D58" s="21"/>
      <c r="E58" s="21"/>
      <c r="F58" s="21"/>
      <c r="G58" s="21"/>
      <c r="H58" s="21"/>
      <c r="I58" s="21"/>
      <c r="J58" s="21"/>
      <c r="K58" s="21"/>
      <c r="L58" s="22" t="str">
        <f t="shared" si="1"/>
        <v/>
      </c>
      <c r="M58" s="3"/>
      <c r="N58" s="3"/>
      <c r="O58" s="3"/>
      <c r="P58" s="3"/>
      <c r="Q58" s="3"/>
      <c r="R58" s="3"/>
      <c r="S58" s="3"/>
      <c r="T58" s="3"/>
      <c r="U58" s="3"/>
      <c r="V58" s="3"/>
      <c r="W58" s="3"/>
      <c r="X58" s="3"/>
      <c r="Y58" s="3"/>
      <c r="Z58" s="3"/>
    </row>
    <row r="59" ht="33.75" customHeight="1">
      <c r="A59" s="23"/>
      <c r="B59" s="23"/>
      <c r="C59" s="23"/>
      <c r="D59" s="23"/>
      <c r="E59" s="23"/>
      <c r="F59" s="23"/>
      <c r="G59" s="23"/>
      <c r="H59" s="23"/>
      <c r="I59" s="23"/>
      <c r="J59" s="23"/>
      <c r="K59" s="23"/>
      <c r="L59" s="22" t="str">
        <f t="shared" si="1"/>
        <v/>
      </c>
      <c r="M59" s="3"/>
      <c r="N59" s="3"/>
      <c r="O59" s="3"/>
      <c r="P59" s="3"/>
      <c r="Q59" s="3"/>
      <c r="R59" s="3"/>
      <c r="S59" s="3"/>
      <c r="T59" s="3"/>
      <c r="U59" s="3"/>
      <c r="V59" s="3"/>
      <c r="W59" s="3"/>
      <c r="X59" s="3"/>
      <c r="Y59" s="3"/>
      <c r="Z59" s="3"/>
    </row>
    <row r="60" ht="33.75" customHeight="1">
      <c r="A60" s="21"/>
      <c r="B60" s="21"/>
      <c r="C60" s="21"/>
      <c r="D60" s="21"/>
      <c r="E60" s="21"/>
      <c r="F60" s="21"/>
      <c r="G60" s="21"/>
      <c r="H60" s="21"/>
      <c r="I60" s="21"/>
      <c r="J60" s="21"/>
      <c r="K60" s="21"/>
      <c r="L60" s="22" t="str">
        <f t="shared" si="1"/>
        <v/>
      </c>
      <c r="M60" s="3"/>
      <c r="N60" s="3"/>
      <c r="O60" s="3"/>
      <c r="P60" s="3"/>
      <c r="Q60" s="3"/>
      <c r="R60" s="3"/>
      <c r="S60" s="3"/>
      <c r="T60" s="3"/>
      <c r="U60" s="3"/>
      <c r="V60" s="3"/>
      <c r="W60" s="3"/>
      <c r="X60" s="3"/>
      <c r="Y60" s="3"/>
      <c r="Z60" s="3"/>
    </row>
    <row r="61" ht="33.75" customHeight="1">
      <c r="A61" s="23"/>
      <c r="B61" s="23"/>
      <c r="C61" s="23"/>
      <c r="D61" s="23"/>
      <c r="E61" s="23"/>
      <c r="F61" s="23"/>
      <c r="G61" s="23"/>
      <c r="H61" s="23"/>
      <c r="I61" s="23"/>
      <c r="J61" s="23"/>
      <c r="K61" s="23"/>
      <c r="L61" s="22" t="str">
        <f t="shared" si="1"/>
        <v/>
      </c>
      <c r="M61" s="3"/>
      <c r="N61" s="3"/>
      <c r="O61" s="3"/>
      <c r="P61" s="3"/>
      <c r="Q61" s="3"/>
      <c r="R61" s="3"/>
      <c r="S61" s="3"/>
      <c r="T61" s="3"/>
      <c r="U61" s="3"/>
      <c r="V61" s="3"/>
      <c r="W61" s="3"/>
      <c r="X61" s="3"/>
      <c r="Y61" s="3"/>
      <c r="Z61" s="3"/>
    </row>
    <row r="62" ht="33.75" customHeight="1">
      <c r="A62" s="21"/>
      <c r="B62" s="21"/>
      <c r="C62" s="21"/>
      <c r="D62" s="21"/>
      <c r="E62" s="21"/>
      <c r="F62" s="21"/>
      <c r="G62" s="21"/>
      <c r="H62" s="21"/>
      <c r="I62" s="21"/>
      <c r="J62" s="21"/>
      <c r="K62" s="21"/>
      <c r="L62" s="22" t="str">
        <f t="shared" si="1"/>
        <v/>
      </c>
      <c r="M62" s="3"/>
      <c r="N62" s="3"/>
      <c r="O62" s="3"/>
      <c r="P62" s="3"/>
      <c r="Q62" s="3"/>
      <c r="R62" s="3"/>
      <c r="S62" s="3"/>
      <c r="T62" s="3"/>
      <c r="U62" s="3"/>
      <c r="V62" s="3"/>
      <c r="W62" s="3"/>
      <c r="X62" s="3"/>
      <c r="Y62" s="3"/>
      <c r="Z62" s="3"/>
    </row>
    <row r="63" ht="33.75" customHeight="1">
      <c r="A63" s="23"/>
      <c r="B63" s="23"/>
      <c r="C63" s="23"/>
      <c r="D63" s="23"/>
      <c r="E63" s="23"/>
      <c r="F63" s="23"/>
      <c r="G63" s="23"/>
      <c r="H63" s="23"/>
      <c r="I63" s="23"/>
      <c r="J63" s="23"/>
      <c r="K63" s="23"/>
      <c r="L63" s="22" t="str">
        <f t="shared" si="1"/>
        <v/>
      </c>
      <c r="M63" s="3"/>
      <c r="N63" s="3"/>
      <c r="O63" s="3"/>
      <c r="P63" s="3"/>
      <c r="Q63" s="3"/>
      <c r="R63" s="3"/>
      <c r="S63" s="3"/>
      <c r="T63" s="3"/>
      <c r="U63" s="3"/>
      <c r="V63" s="3"/>
      <c r="W63" s="3"/>
      <c r="X63" s="3"/>
      <c r="Y63" s="3"/>
      <c r="Z63" s="3"/>
    </row>
    <row r="64" ht="33.75" customHeight="1">
      <c r="A64" s="21"/>
      <c r="B64" s="21"/>
      <c r="C64" s="21"/>
      <c r="D64" s="21"/>
      <c r="E64" s="21"/>
      <c r="F64" s="21"/>
      <c r="G64" s="21"/>
      <c r="H64" s="21"/>
      <c r="I64" s="21"/>
      <c r="J64" s="21"/>
      <c r="K64" s="21"/>
      <c r="L64" s="22" t="str">
        <f t="shared" si="1"/>
        <v/>
      </c>
      <c r="M64" s="3"/>
      <c r="N64" s="3"/>
      <c r="O64" s="3"/>
      <c r="P64" s="3"/>
      <c r="Q64" s="3"/>
      <c r="R64" s="3"/>
      <c r="S64" s="3"/>
      <c r="T64" s="3"/>
      <c r="U64" s="3"/>
      <c r="V64" s="3"/>
      <c r="W64" s="3"/>
      <c r="X64" s="3"/>
      <c r="Y64" s="3"/>
      <c r="Z64" s="3"/>
    </row>
    <row r="65" ht="33.75" customHeight="1">
      <c r="A65" s="23"/>
      <c r="B65" s="23"/>
      <c r="C65" s="23"/>
      <c r="D65" s="23"/>
      <c r="E65" s="23"/>
      <c r="F65" s="23"/>
      <c r="G65" s="23"/>
      <c r="H65" s="23"/>
      <c r="I65" s="23"/>
      <c r="J65" s="23"/>
      <c r="K65" s="23"/>
      <c r="L65" s="22" t="str">
        <f t="shared" si="1"/>
        <v/>
      </c>
      <c r="M65" s="3"/>
      <c r="N65" s="3"/>
      <c r="O65" s="3"/>
      <c r="P65" s="3"/>
      <c r="Q65" s="3"/>
      <c r="R65" s="3"/>
      <c r="S65" s="3"/>
      <c r="T65" s="3"/>
      <c r="U65" s="3"/>
      <c r="V65" s="3"/>
      <c r="W65" s="3"/>
      <c r="X65" s="3"/>
      <c r="Y65" s="3"/>
      <c r="Z65" s="3"/>
    </row>
    <row r="66" ht="33.75" customHeight="1">
      <c r="A66" s="21"/>
      <c r="B66" s="21"/>
      <c r="C66" s="21"/>
      <c r="D66" s="21"/>
      <c r="E66" s="21"/>
      <c r="F66" s="21"/>
      <c r="G66" s="21"/>
      <c r="H66" s="21"/>
      <c r="I66" s="21"/>
      <c r="J66" s="21"/>
      <c r="K66" s="21"/>
      <c r="L66" s="22" t="str">
        <f t="shared" si="1"/>
        <v/>
      </c>
      <c r="M66" s="3"/>
      <c r="N66" s="3"/>
      <c r="O66" s="3"/>
      <c r="P66" s="3"/>
      <c r="Q66" s="3"/>
      <c r="R66" s="3"/>
      <c r="S66" s="3"/>
      <c r="T66" s="3"/>
      <c r="U66" s="3"/>
      <c r="V66" s="3"/>
      <c r="W66" s="3"/>
      <c r="X66" s="3"/>
      <c r="Y66" s="3"/>
      <c r="Z66" s="3"/>
    </row>
    <row r="67" ht="33.75" customHeight="1">
      <c r="A67" s="23"/>
      <c r="B67" s="23"/>
      <c r="C67" s="23"/>
      <c r="D67" s="23"/>
      <c r="E67" s="23"/>
      <c r="F67" s="23"/>
      <c r="G67" s="23"/>
      <c r="H67" s="23"/>
      <c r="I67" s="23"/>
      <c r="J67" s="23"/>
      <c r="K67" s="23"/>
      <c r="L67" s="22" t="str">
        <f t="shared" si="1"/>
        <v/>
      </c>
      <c r="M67" s="3"/>
      <c r="N67" s="3"/>
      <c r="O67" s="3"/>
      <c r="P67" s="3"/>
      <c r="Q67" s="3"/>
      <c r="R67" s="3"/>
      <c r="S67" s="3"/>
      <c r="T67" s="3"/>
      <c r="U67" s="3"/>
      <c r="V67" s="3"/>
      <c r="W67" s="3"/>
      <c r="X67" s="3"/>
      <c r="Y67" s="3"/>
      <c r="Z67" s="3"/>
    </row>
    <row r="68" ht="33.75" customHeight="1">
      <c r="A68" s="21"/>
      <c r="B68" s="21"/>
      <c r="C68" s="21"/>
      <c r="D68" s="21"/>
      <c r="E68" s="21"/>
      <c r="F68" s="21"/>
      <c r="G68" s="21"/>
      <c r="H68" s="21"/>
      <c r="I68" s="21"/>
      <c r="J68" s="21"/>
      <c r="K68" s="21"/>
      <c r="L68" s="22" t="str">
        <f t="shared" si="1"/>
        <v/>
      </c>
      <c r="M68" s="3"/>
      <c r="N68" s="3"/>
      <c r="O68" s="3"/>
      <c r="P68" s="3"/>
      <c r="Q68" s="3"/>
      <c r="R68" s="3"/>
      <c r="S68" s="3"/>
      <c r="T68" s="3"/>
      <c r="U68" s="3"/>
      <c r="V68" s="3"/>
      <c r="W68" s="3"/>
      <c r="X68" s="3"/>
      <c r="Y68" s="3"/>
      <c r="Z68" s="3"/>
    </row>
    <row r="69" ht="33.75" customHeight="1">
      <c r="A69" s="23"/>
      <c r="B69" s="23"/>
      <c r="C69" s="23"/>
      <c r="D69" s="23"/>
      <c r="E69" s="23"/>
      <c r="F69" s="23"/>
      <c r="G69" s="23"/>
      <c r="H69" s="23"/>
      <c r="I69" s="23"/>
      <c r="J69" s="23"/>
      <c r="K69" s="23"/>
      <c r="L69" s="22" t="str">
        <f t="shared" si="1"/>
        <v/>
      </c>
      <c r="M69" s="3"/>
      <c r="N69" s="3"/>
      <c r="O69" s="3"/>
      <c r="P69" s="3"/>
      <c r="Q69" s="3"/>
      <c r="R69" s="3"/>
      <c r="S69" s="3"/>
      <c r="T69" s="3"/>
      <c r="U69" s="3"/>
      <c r="V69" s="3"/>
      <c r="W69" s="3"/>
      <c r="X69" s="3"/>
      <c r="Y69" s="3"/>
      <c r="Z69" s="3"/>
    </row>
    <row r="70" ht="33.75" customHeight="1">
      <c r="A70" s="21"/>
      <c r="B70" s="21"/>
      <c r="C70" s="21"/>
      <c r="D70" s="21"/>
      <c r="E70" s="21"/>
      <c r="F70" s="21"/>
      <c r="G70" s="21"/>
      <c r="H70" s="21"/>
      <c r="I70" s="21"/>
      <c r="J70" s="21"/>
      <c r="K70" s="21"/>
      <c r="L70" s="22" t="str">
        <f t="shared" si="1"/>
        <v/>
      </c>
      <c r="M70" s="3"/>
      <c r="N70" s="3"/>
      <c r="O70" s="3"/>
      <c r="P70" s="3"/>
      <c r="Q70" s="3"/>
      <c r="R70" s="3"/>
      <c r="S70" s="3"/>
      <c r="T70" s="3"/>
      <c r="U70" s="3"/>
      <c r="V70" s="3"/>
      <c r="W70" s="3"/>
      <c r="X70" s="3"/>
      <c r="Y70" s="3"/>
      <c r="Z70" s="3"/>
    </row>
    <row r="71" ht="33.75" customHeight="1">
      <c r="A71" s="23"/>
      <c r="B71" s="23"/>
      <c r="C71" s="23"/>
      <c r="D71" s="23"/>
      <c r="E71" s="23"/>
      <c r="F71" s="23"/>
      <c r="G71" s="23"/>
      <c r="H71" s="23"/>
      <c r="I71" s="23"/>
      <c r="J71" s="23"/>
      <c r="K71" s="23"/>
      <c r="L71" s="22" t="str">
        <f t="shared" si="1"/>
        <v/>
      </c>
      <c r="M71" s="3"/>
      <c r="N71" s="3"/>
      <c r="O71" s="3"/>
      <c r="P71" s="3"/>
      <c r="Q71" s="3"/>
      <c r="R71" s="3"/>
      <c r="S71" s="3"/>
      <c r="T71" s="3"/>
      <c r="U71" s="3"/>
      <c r="V71" s="3"/>
      <c r="W71" s="3"/>
      <c r="X71" s="3"/>
      <c r="Y71" s="3"/>
      <c r="Z71" s="3"/>
    </row>
    <row r="72" ht="33.75" customHeight="1">
      <c r="A72" s="21"/>
      <c r="B72" s="21"/>
      <c r="C72" s="21"/>
      <c r="D72" s="21"/>
      <c r="E72" s="21"/>
      <c r="F72" s="21"/>
      <c r="G72" s="21"/>
      <c r="H72" s="21"/>
      <c r="I72" s="21"/>
      <c r="J72" s="21"/>
      <c r="K72" s="21"/>
      <c r="L72" s="22" t="str">
        <f t="shared" si="1"/>
        <v/>
      </c>
      <c r="M72" s="3"/>
      <c r="N72" s="3"/>
      <c r="O72" s="3"/>
      <c r="P72" s="3"/>
      <c r="Q72" s="3"/>
      <c r="R72" s="3"/>
      <c r="S72" s="3"/>
      <c r="T72" s="3"/>
      <c r="U72" s="3"/>
      <c r="V72" s="3"/>
      <c r="W72" s="3"/>
      <c r="X72" s="3"/>
      <c r="Y72" s="3"/>
      <c r="Z72" s="3"/>
    </row>
    <row r="73" ht="33.75" customHeight="1">
      <c r="A73" s="23"/>
      <c r="B73" s="23"/>
      <c r="C73" s="23"/>
      <c r="D73" s="23"/>
      <c r="E73" s="23"/>
      <c r="F73" s="23"/>
      <c r="G73" s="23"/>
      <c r="H73" s="23"/>
      <c r="I73" s="23"/>
      <c r="J73" s="23"/>
      <c r="K73" s="23"/>
      <c r="L73" s="22" t="str">
        <f t="shared" si="1"/>
        <v/>
      </c>
      <c r="M73" s="3"/>
      <c r="N73" s="3"/>
      <c r="O73" s="3"/>
      <c r="P73" s="3"/>
      <c r="Q73" s="3"/>
      <c r="R73" s="3"/>
      <c r="S73" s="3"/>
      <c r="T73" s="3"/>
      <c r="U73" s="3"/>
      <c r="V73" s="3"/>
      <c r="W73" s="3"/>
      <c r="X73" s="3"/>
      <c r="Y73" s="3"/>
      <c r="Z73" s="3"/>
    </row>
    <row r="74" ht="33.75" customHeight="1">
      <c r="A74" s="21"/>
      <c r="B74" s="21"/>
      <c r="C74" s="21"/>
      <c r="D74" s="21"/>
      <c r="E74" s="21"/>
      <c r="F74" s="21"/>
      <c r="G74" s="21"/>
      <c r="H74" s="21"/>
      <c r="I74" s="21"/>
      <c r="J74" s="21"/>
      <c r="K74" s="21"/>
      <c r="L74" s="22" t="str">
        <f t="shared" si="1"/>
        <v/>
      </c>
      <c r="M74" s="3"/>
      <c r="N74" s="3"/>
      <c r="O74" s="3"/>
      <c r="P74" s="3"/>
      <c r="Q74" s="3"/>
      <c r="R74" s="3"/>
      <c r="S74" s="3"/>
      <c r="T74" s="3"/>
      <c r="U74" s="3"/>
      <c r="V74" s="3"/>
      <c r="W74" s="3"/>
      <c r="X74" s="3"/>
      <c r="Y74" s="3"/>
      <c r="Z74" s="3"/>
    </row>
    <row r="75" ht="33.75" customHeight="1">
      <c r="A75" s="23"/>
      <c r="B75" s="23"/>
      <c r="C75" s="23"/>
      <c r="D75" s="23"/>
      <c r="E75" s="23"/>
      <c r="F75" s="23"/>
      <c r="G75" s="23"/>
      <c r="H75" s="23"/>
      <c r="I75" s="23"/>
      <c r="J75" s="23"/>
      <c r="K75" s="23"/>
      <c r="L75" s="22" t="str">
        <f t="shared" si="1"/>
        <v/>
      </c>
      <c r="M75" s="3"/>
      <c r="N75" s="3"/>
      <c r="O75" s="3"/>
      <c r="P75" s="3"/>
      <c r="Q75" s="3"/>
      <c r="R75" s="3"/>
      <c r="S75" s="3"/>
      <c r="T75" s="3"/>
      <c r="U75" s="3"/>
      <c r="V75" s="3"/>
      <c r="W75" s="3"/>
      <c r="X75" s="3"/>
      <c r="Y75" s="3"/>
      <c r="Z75" s="3"/>
    </row>
    <row r="76" ht="33.75" customHeight="1">
      <c r="A76" s="21"/>
      <c r="B76" s="21"/>
      <c r="C76" s="21"/>
      <c r="D76" s="21"/>
      <c r="E76" s="21"/>
      <c r="F76" s="21"/>
      <c r="G76" s="21"/>
      <c r="H76" s="21"/>
      <c r="I76" s="21"/>
      <c r="J76" s="21"/>
      <c r="K76" s="21"/>
      <c r="L76" s="22" t="str">
        <f t="shared" si="1"/>
        <v/>
      </c>
      <c r="M76" s="3"/>
      <c r="N76" s="3"/>
      <c r="O76" s="3"/>
      <c r="P76" s="3"/>
      <c r="Q76" s="3"/>
      <c r="R76" s="3"/>
      <c r="S76" s="3"/>
      <c r="T76" s="3"/>
      <c r="U76" s="3"/>
      <c r="V76" s="3"/>
      <c r="W76" s="3"/>
      <c r="X76" s="3"/>
      <c r="Y76" s="3"/>
      <c r="Z76" s="3"/>
    </row>
    <row r="77" ht="33.75" customHeight="1">
      <c r="A77" s="23"/>
      <c r="B77" s="23"/>
      <c r="C77" s="23"/>
      <c r="D77" s="23"/>
      <c r="E77" s="23"/>
      <c r="F77" s="23"/>
      <c r="G77" s="23"/>
      <c r="H77" s="23"/>
      <c r="I77" s="23"/>
      <c r="J77" s="23"/>
      <c r="K77" s="23"/>
      <c r="L77" s="22" t="str">
        <f t="shared" si="1"/>
        <v/>
      </c>
      <c r="M77" s="3"/>
      <c r="N77" s="3"/>
      <c r="O77" s="3"/>
      <c r="P77" s="3"/>
      <c r="Q77" s="3"/>
      <c r="R77" s="3"/>
      <c r="S77" s="3"/>
      <c r="T77" s="3"/>
      <c r="U77" s="3"/>
      <c r="V77" s="3"/>
      <c r="W77" s="3"/>
      <c r="X77" s="3"/>
      <c r="Y77" s="3"/>
      <c r="Z77" s="3"/>
    </row>
    <row r="78" ht="33.75" customHeight="1">
      <c r="A78" s="21"/>
      <c r="B78" s="21"/>
      <c r="C78" s="21"/>
      <c r="D78" s="21"/>
      <c r="E78" s="21"/>
      <c r="F78" s="21"/>
      <c r="G78" s="21"/>
      <c r="H78" s="21"/>
      <c r="I78" s="21"/>
      <c r="J78" s="21"/>
      <c r="K78" s="21"/>
      <c r="L78" s="22" t="str">
        <f t="shared" si="1"/>
        <v/>
      </c>
      <c r="M78" s="3"/>
      <c r="N78" s="3"/>
      <c r="O78" s="3"/>
      <c r="P78" s="3"/>
      <c r="Q78" s="3"/>
      <c r="R78" s="3"/>
      <c r="S78" s="3"/>
      <c r="T78" s="3"/>
      <c r="U78" s="3"/>
      <c r="V78" s="3"/>
      <c r="W78" s="3"/>
      <c r="X78" s="3"/>
      <c r="Y78" s="3"/>
      <c r="Z78" s="3"/>
    </row>
    <row r="79" ht="33.75" customHeight="1">
      <c r="A79" s="23"/>
      <c r="B79" s="23"/>
      <c r="C79" s="23"/>
      <c r="D79" s="23"/>
      <c r="E79" s="23"/>
      <c r="F79" s="23"/>
      <c r="G79" s="23"/>
      <c r="H79" s="23"/>
      <c r="I79" s="23"/>
      <c r="J79" s="23"/>
      <c r="K79" s="23"/>
      <c r="L79" s="22" t="str">
        <f t="shared" si="1"/>
        <v/>
      </c>
      <c r="M79" s="3"/>
      <c r="N79" s="3"/>
      <c r="O79" s="3"/>
      <c r="P79" s="3"/>
      <c r="Q79" s="3"/>
      <c r="R79" s="3"/>
      <c r="S79" s="3"/>
      <c r="T79" s="3"/>
      <c r="U79" s="3"/>
      <c r="V79" s="3"/>
      <c r="W79" s="3"/>
      <c r="X79" s="3"/>
      <c r="Y79" s="3"/>
      <c r="Z79" s="3"/>
    </row>
    <row r="80" ht="33.75" customHeight="1">
      <c r="A80" s="21"/>
      <c r="B80" s="21"/>
      <c r="C80" s="21"/>
      <c r="D80" s="21"/>
      <c r="E80" s="21"/>
      <c r="F80" s="21"/>
      <c r="G80" s="21"/>
      <c r="H80" s="21"/>
      <c r="I80" s="21"/>
      <c r="J80" s="21"/>
      <c r="K80" s="21"/>
      <c r="L80" s="22" t="str">
        <f t="shared" si="1"/>
        <v/>
      </c>
      <c r="M80" s="3"/>
      <c r="N80" s="3"/>
      <c r="O80" s="3"/>
      <c r="P80" s="3"/>
      <c r="Q80" s="3"/>
      <c r="R80" s="3"/>
      <c r="S80" s="3"/>
      <c r="T80" s="3"/>
      <c r="U80" s="3"/>
      <c r="V80" s="3"/>
      <c r="W80" s="3"/>
      <c r="X80" s="3"/>
      <c r="Y80" s="3"/>
      <c r="Z80" s="3"/>
    </row>
    <row r="81" ht="33.75" customHeight="1">
      <c r="A81" s="23"/>
      <c r="B81" s="23"/>
      <c r="C81" s="23"/>
      <c r="D81" s="23"/>
      <c r="E81" s="23"/>
      <c r="F81" s="23"/>
      <c r="G81" s="23"/>
      <c r="H81" s="23"/>
      <c r="I81" s="23"/>
      <c r="J81" s="23"/>
      <c r="K81" s="23"/>
      <c r="L81" s="22" t="str">
        <f t="shared" si="1"/>
        <v/>
      </c>
      <c r="M81" s="3"/>
      <c r="N81" s="3"/>
      <c r="O81" s="3"/>
      <c r="P81" s="3"/>
      <c r="Q81" s="3"/>
      <c r="R81" s="3"/>
      <c r="S81" s="3"/>
      <c r="T81" s="3"/>
      <c r="U81" s="3"/>
      <c r="V81" s="3"/>
      <c r="W81" s="3"/>
      <c r="X81" s="3"/>
      <c r="Y81" s="3"/>
      <c r="Z81" s="3"/>
    </row>
    <row r="82" ht="33.75" customHeight="1">
      <c r="A82" s="21"/>
      <c r="B82" s="21"/>
      <c r="C82" s="21"/>
      <c r="D82" s="21"/>
      <c r="E82" s="21"/>
      <c r="F82" s="21"/>
      <c r="G82" s="21"/>
      <c r="H82" s="21"/>
      <c r="I82" s="21"/>
      <c r="J82" s="21"/>
      <c r="K82" s="21"/>
      <c r="L82" s="22" t="str">
        <f t="shared" si="1"/>
        <v/>
      </c>
      <c r="M82" s="3"/>
      <c r="N82" s="3"/>
      <c r="O82" s="3"/>
      <c r="P82" s="3"/>
      <c r="Q82" s="3"/>
      <c r="R82" s="3"/>
      <c r="S82" s="3"/>
      <c r="T82" s="3"/>
      <c r="U82" s="3"/>
      <c r="V82" s="3"/>
      <c r="W82" s="3"/>
      <c r="X82" s="3"/>
      <c r="Y82" s="3"/>
      <c r="Z82" s="3"/>
    </row>
    <row r="83" ht="33.75" customHeight="1">
      <c r="A83" s="23"/>
      <c r="B83" s="23"/>
      <c r="C83" s="23"/>
      <c r="D83" s="23"/>
      <c r="E83" s="23"/>
      <c r="F83" s="23"/>
      <c r="G83" s="23"/>
      <c r="H83" s="23"/>
      <c r="I83" s="23"/>
      <c r="J83" s="23"/>
      <c r="K83" s="23"/>
      <c r="L83" s="22" t="str">
        <f t="shared" si="1"/>
        <v/>
      </c>
      <c r="M83" s="3"/>
      <c r="N83" s="3"/>
      <c r="O83" s="3"/>
      <c r="P83" s="3"/>
      <c r="Q83" s="3"/>
      <c r="R83" s="3"/>
      <c r="S83" s="3"/>
      <c r="T83" s="3"/>
      <c r="U83" s="3"/>
      <c r="V83" s="3"/>
      <c r="W83" s="3"/>
      <c r="X83" s="3"/>
      <c r="Y83" s="3"/>
      <c r="Z83" s="3"/>
    </row>
    <row r="84" ht="33.75" customHeight="1">
      <c r="A84" s="21"/>
      <c r="B84" s="21"/>
      <c r="C84" s="21"/>
      <c r="D84" s="21"/>
      <c r="E84" s="21"/>
      <c r="F84" s="21"/>
      <c r="G84" s="21"/>
      <c r="H84" s="21"/>
      <c r="I84" s="21"/>
      <c r="J84" s="21"/>
      <c r="K84" s="21"/>
      <c r="L84" s="22" t="str">
        <f t="shared" si="1"/>
        <v/>
      </c>
      <c r="M84" s="3"/>
      <c r="N84" s="3"/>
      <c r="O84" s="3"/>
      <c r="P84" s="3"/>
      <c r="Q84" s="3"/>
      <c r="R84" s="3"/>
      <c r="S84" s="3"/>
      <c r="T84" s="3"/>
      <c r="U84" s="3"/>
      <c r="V84" s="3"/>
      <c r="W84" s="3"/>
      <c r="X84" s="3"/>
      <c r="Y84" s="3"/>
      <c r="Z84" s="3"/>
    </row>
    <row r="85" ht="33.75" customHeight="1">
      <c r="A85" s="23"/>
      <c r="B85" s="23"/>
      <c r="C85" s="23"/>
      <c r="D85" s="23"/>
      <c r="E85" s="23"/>
      <c r="F85" s="23"/>
      <c r="G85" s="23"/>
      <c r="H85" s="23"/>
      <c r="I85" s="23"/>
      <c r="J85" s="23"/>
      <c r="K85" s="23"/>
      <c r="L85" s="22" t="str">
        <f t="shared" si="1"/>
        <v/>
      </c>
      <c r="M85" s="3"/>
      <c r="N85" s="3"/>
      <c r="O85" s="3"/>
      <c r="P85" s="3"/>
      <c r="Q85" s="3"/>
      <c r="R85" s="3"/>
      <c r="S85" s="3"/>
      <c r="T85" s="3"/>
      <c r="U85" s="3"/>
      <c r="V85" s="3"/>
      <c r="W85" s="3"/>
      <c r="X85" s="3"/>
      <c r="Y85" s="3"/>
      <c r="Z85" s="3"/>
    </row>
    <row r="86" ht="33.75" customHeight="1">
      <c r="A86" s="21"/>
      <c r="B86" s="21"/>
      <c r="C86" s="21"/>
      <c r="D86" s="21"/>
      <c r="E86" s="21"/>
      <c r="F86" s="21"/>
      <c r="G86" s="21"/>
      <c r="H86" s="21"/>
      <c r="I86" s="21"/>
      <c r="J86" s="21"/>
      <c r="K86" s="21"/>
      <c r="L86" s="22" t="str">
        <f t="shared" si="1"/>
        <v/>
      </c>
      <c r="M86" s="3"/>
      <c r="N86" s="3"/>
      <c r="O86" s="3"/>
      <c r="P86" s="3"/>
      <c r="Q86" s="3"/>
      <c r="R86" s="3"/>
      <c r="S86" s="3"/>
      <c r="T86" s="3"/>
      <c r="U86" s="3"/>
      <c r="V86" s="3"/>
      <c r="W86" s="3"/>
      <c r="X86" s="3"/>
      <c r="Y86" s="3"/>
      <c r="Z86" s="3"/>
    </row>
    <row r="87" ht="33.75" customHeight="1">
      <c r="A87" s="23"/>
      <c r="B87" s="23"/>
      <c r="C87" s="23"/>
      <c r="D87" s="23"/>
      <c r="E87" s="23"/>
      <c r="F87" s="23"/>
      <c r="G87" s="23"/>
      <c r="H87" s="23"/>
      <c r="I87" s="23"/>
      <c r="J87" s="23"/>
      <c r="K87" s="23"/>
      <c r="L87" s="22" t="str">
        <f t="shared" si="1"/>
        <v/>
      </c>
      <c r="M87" s="3"/>
      <c r="N87" s="3"/>
      <c r="O87" s="3"/>
      <c r="P87" s="3"/>
      <c r="Q87" s="3"/>
      <c r="R87" s="3"/>
      <c r="S87" s="3"/>
      <c r="T87" s="3"/>
      <c r="U87" s="3"/>
      <c r="V87" s="3"/>
      <c r="W87" s="3"/>
      <c r="X87" s="3"/>
      <c r="Y87" s="3"/>
      <c r="Z87" s="3"/>
    </row>
    <row r="88" ht="33.75" customHeight="1">
      <c r="A88" s="21"/>
      <c r="B88" s="21"/>
      <c r="C88" s="21"/>
      <c r="D88" s="21"/>
      <c r="E88" s="21"/>
      <c r="F88" s="21"/>
      <c r="G88" s="21"/>
      <c r="H88" s="21"/>
      <c r="I88" s="21"/>
      <c r="J88" s="21"/>
      <c r="K88" s="21"/>
      <c r="L88" s="22" t="str">
        <f t="shared" si="1"/>
        <v/>
      </c>
      <c r="M88" s="3"/>
      <c r="N88" s="3"/>
      <c r="O88" s="3"/>
      <c r="P88" s="3"/>
      <c r="Q88" s="3"/>
      <c r="R88" s="3"/>
      <c r="S88" s="3"/>
      <c r="T88" s="3"/>
      <c r="U88" s="3"/>
      <c r="V88" s="3"/>
      <c r="W88" s="3"/>
      <c r="X88" s="3"/>
      <c r="Y88" s="3"/>
      <c r="Z88" s="3"/>
    </row>
    <row r="89" ht="33.75" customHeight="1">
      <c r="A89" s="23"/>
      <c r="B89" s="23"/>
      <c r="C89" s="23"/>
      <c r="D89" s="23"/>
      <c r="E89" s="23"/>
      <c r="F89" s="23"/>
      <c r="G89" s="23"/>
      <c r="H89" s="23"/>
      <c r="I89" s="23"/>
      <c r="J89" s="23"/>
      <c r="K89" s="23"/>
      <c r="L89" s="22" t="str">
        <f t="shared" si="1"/>
        <v/>
      </c>
      <c r="M89" s="3"/>
      <c r="N89" s="3"/>
      <c r="O89" s="3"/>
      <c r="P89" s="3"/>
      <c r="Q89" s="3"/>
      <c r="R89" s="3"/>
      <c r="S89" s="3"/>
      <c r="T89" s="3"/>
      <c r="U89" s="3"/>
      <c r="V89" s="3"/>
      <c r="W89" s="3"/>
      <c r="X89" s="3"/>
      <c r="Y89" s="3"/>
      <c r="Z89" s="3"/>
    </row>
    <row r="90" ht="33.75" customHeight="1">
      <c r="A90" s="21"/>
      <c r="B90" s="21"/>
      <c r="C90" s="21"/>
      <c r="D90" s="21"/>
      <c r="E90" s="21"/>
      <c r="F90" s="21"/>
      <c r="G90" s="21"/>
      <c r="H90" s="21"/>
      <c r="I90" s="21"/>
      <c r="J90" s="21"/>
      <c r="K90" s="21"/>
      <c r="L90" s="22" t="str">
        <f t="shared" si="1"/>
        <v/>
      </c>
      <c r="M90" s="3"/>
      <c r="N90" s="3"/>
      <c r="O90" s="3"/>
      <c r="P90" s="3"/>
      <c r="Q90" s="3"/>
      <c r="R90" s="3"/>
      <c r="S90" s="3"/>
      <c r="T90" s="3"/>
      <c r="U90" s="3"/>
      <c r="V90" s="3"/>
      <c r="W90" s="3"/>
      <c r="X90" s="3"/>
      <c r="Y90" s="3"/>
      <c r="Z90" s="3"/>
    </row>
    <row r="91" ht="33.75" customHeight="1">
      <c r="A91" s="23"/>
      <c r="B91" s="23"/>
      <c r="C91" s="23"/>
      <c r="D91" s="23"/>
      <c r="E91" s="23"/>
      <c r="F91" s="23"/>
      <c r="G91" s="23"/>
      <c r="H91" s="23"/>
      <c r="I91" s="23"/>
      <c r="J91" s="23"/>
      <c r="K91" s="23"/>
      <c r="L91" s="22" t="str">
        <f t="shared" si="1"/>
        <v/>
      </c>
      <c r="M91" s="3"/>
      <c r="N91" s="3"/>
      <c r="O91" s="3"/>
      <c r="P91" s="3"/>
      <c r="Q91" s="3"/>
      <c r="R91" s="3"/>
      <c r="S91" s="3"/>
      <c r="T91" s="3"/>
      <c r="U91" s="3"/>
      <c r="V91" s="3"/>
      <c r="W91" s="3"/>
      <c r="X91" s="3"/>
      <c r="Y91" s="3"/>
      <c r="Z91" s="3"/>
    </row>
    <row r="92" ht="33.75" customHeight="1">
      <c r="A92" s="21"/>
      <c r="B92" s="21"/>
      <c r="C92" s="21"/>
      <c r="D92" s="21"/>
      <c r="E92" s="21"/>
      <c r="F92" s="21"/>
      <c r="G92" s="21"/>
      <c r="H92" s="21"/>
      <c r="I92" s="21"/>
      <c r="J92" s="21"/>
      <c r="K92" s="21"/>
      <c r="L92" s="22" t="str">
        <f t="shared" si="1"/>
        <v/>
      </c>
      <c r="M92" s="3"/>
      <c r="N92" s="3"/>
      <c r="O92" s="3"/>
      <c r="P92" s="3"/>
      <c r="Q92" s="3"/>
      <c r="R92" s="3"/>
      <c r="S92" s="3"/>
      <c r="T92" s="3"/>
      <c r="U92" s="3"/>
      <c r="V92" s="3"/>
      <c r="W92" s="3"/>
      <c r="X92" s="3"/>
      <c r="Y92" s="3"/>
      <c r="Z92" s="3"/>
    </row>
    <row r="93" ht="33.75" customHeight="1">
      <c r="A93" s="23"/>
      <c r="B93" s="23"/>
      <c r="C93" s="23"/>
      <c r="D93" s="23"/>
      <c r="E93" s="23"/>
      <c r="F93" s="23"/>
      <c r="G93" s="23"/>
      <c r="H93" s="23"/>
      <c r="I93" s="23"/>
      <c r="J93" s="23"/>
      <c r="K93" s="23"/>
      <c r="L93" s="22" t="str">
        <f t="shared" si="1"/>
        <v/>
      </c>
      <c r="M93" s="3"/>
      <c r="N93" s="3"/>
      <c r="O93" s="3"/>
      <c r="P93" s="3"/>
      <c r="Q93" s="3"/>
      <c r="R93" s="3"/>
      <c r="S93" s="3"/>
      <c r="T93" s="3"/>
      <c r="U93" s="3"/>
      <c r="V93" s="3"/>
      <c r="W93" s="3"/>
      <c r="X93" s="3"/>
      <c r="Y93" s="3"/>
      <c r="Z93" s="3"/>
    </row>
    <row r="94" ht="33.75" customHeight="1">
      <c r="A94" s="21"/>
      <c r="B94" s="21"/>
      <c r="C94" s="21"/>
      <c r="D94" s="21"/>
      <c r="E94" s="21"/>
      <c r="F94" s="21"/>
      <c r="G94" s="21"/>
      <c r="H94" s="21"/>
      <c r="I94" s="21"/>
      <c r="J94" s="21"/>
      <c r="K94" s="21"/>
      <c r="L94" s="22" t="str">
        <f t="shared" si="1"/>
        <v/>
      </c>
      <c r="M94" s="3"/>
      <c r="N94" s="3"/>
      <c r="O94" s="3"/>
      <c r="P94" s="3"/>
      <c r="Q94" s="3"/>
      <c r="R94" s="3"/>
      <c r="S94" s="3"/>
      <c r="T94" s="3"/>
      <c r="U94" s="3"/>
      <c r="V94" s="3"/>
      <c r="W94" s="3"/>
      <c r="X94" s="3"/>
      <c r="Y94" s="3"/>
      <c r="Z94" s="3"/>
    </row>
    <row r="95" ht="33.75" customHeight="1">
      <c r="A95" s="23"/>
      <c r="B95" s="23"/>
      <c r="C95" s="23"/>
      <c r="D95" s="23"/>
      <c r="E95" s="23"/>
      <c r="F95" s="23"/>
      <c r="G95" s="23"/>
      <c r="H95" s="23"/>
      <c r="I95" s="23"/>
      <c r="J95" s="23"/>
      <c r="K95" s="23"/>
      <c r="L95" s="22" t="str">
        <f t="shared" si="1"/>
        <v/>
      </c>
      <c r="M95" s="3"/>
      <c r="N95" s="3"/>
      <c r="O95" s="3"/>
      <c r="P95" s="3"/>
      <c r="Q95" s="3"/>
      <c r="R95" s="3"/>
      <c r="S95" s="3"/>
      <c r="T95" s="3"/>
      <c r="U95" s="3"/>
      <c r="V95" s="3"/>
      <c r="W95" s="3"/>
      <c r="X95" s="3"/>
      <c r="Y95" s="3"/>
      <c r="Z95" s="3"/>
    </row>
    <row r="96" ht="33.75" customHeight="1">
      <c r="A96" s="21"/>
      <c r="B96" s="21"/>
      <c r="C96" s="21"/>
      <c r="D96" s="21"/>
      <c r="E96" s="21"/>
      <c r="F96" s="21"/>
      <c r="G96" s="21"/>
      <c r="H96" s="21"/>
      <c r="I96" s="21"/>
      <c r="J96" s="21"/>
      <c r="K96" s="21"/>
      <c r="L96" s="22" t="str">
        <f t="shared" si="1"/>
        <v/>
      </c>
      <c r="M96" s="3"/>
      <c r="N96" s="3"/>
      <c r="O96" s="3"/>
      <c r="P96" s="3"/>
      <c r="Q96" s="3"/>
      <c r="R96" s="3"/>
      <c r="S96" s="3"/>
      <c r="T96" s="3"/>
      <c r="U96" s="3"/>
      <c r="V96" s="3"/>
      <c r="W96" s="3"/>
      <c r="X96" s="3"/>
      <c r="Y96" s="3"/>
      <c r="Z96" s="3"/>
    </row>
    <row r="97" ht="33.75" customHeight="1">
      <c r="A97" s="23"/>
      <c r="B97" s="23"/>
      <c r="C97" s="23"/>
      <c r="D97" s="23"/>
      <c r="E97" s="23"/>
      <c r="F97" s="23"/>
      <c r="G97" s="23"/>
      <c r="H97" s="23"/>
      <c r="I97" s="23"/>
      <c r="J97" s="23"/>
      <c r="K97" s="23"/>
      <c r="L97" s="22" t="str">
        <f t="shared" si="1"/>
        <v/>
      </c>
      <c r="M97" s="3"/>
      <c r="N97" s="3"/>
      <c r="O97" s="3"/>
      <c r="P97" s="3"/>
      <c r="Q97" s="3"/>
      <c r="R97" s="3"/>
      <c r="S97" s="3"/>
      <c r="T97" s="3"/>
      <c r="U97" s="3"/>
      <c r="V97" s="3"/>
      <c r="W97" s="3"/>
      <c r="X97" s="3"/>
      <c r="Y97" s="3"/>
      <c r="Z97" s="3"/>
    </row>
    <row r="98" ht="33.75" customHeight="1">
      <c r="A98" s="21"/>
      <c r="B98" s="21"/>
      <c r="C98" s="21"/>
      <c r="D98" s="21"/>
      <c r="E98" s="21"/>
      <c r="F98" s="21"/>
      <c r="G98" s="21"/>
      <c r="H98" s="21"/>
      <c r="I98" s="21"/>
      <c r="J98" s="21"/>
      <c r="K98" s="21"/>
      <c r="L98" s="22" t="str">
        <f t="shared" si="1"/>
        <v/>
      </c>
      <c r="M98" s="3"/>
      <c r="N98" s="3"/>
      <c r="O98" s="3"/>
      <c r="P98" s="3"/>
      <c r="Q98" s="3"/>
      <c r="R98" s="3"/>
      <c r="S98" s="3"/>
      <c r="T98" s="3"/>
      <c r="U98" s="3"/>
      <c r="V98" s="3"/>
      <c r="W98" s="3"/>
      <c r="X98" s="3"/>
      <c r="Y98" s="3"/>
      <c r="Z98" s="3"/>
    </row>
    <row r="99" ht="33.75" customHeight="1">
      <c r="A99" s="23"/>
      <c r="B99" s="23"/>
      <c r="C99" s="23"/>
      <c r="D99" s="23"/>
      <c r="E99" s="23"/>
      <c r="F99" s="23"/>
      <c r="G99" s="23"/>
      <c r="H99" s="23"/>
      <c r="I99" s="23"/>
      <c r="J99" s="23"/>
      <c r="K99" s="23"/>
      <c r="L99" s="22" t="str">
        <f t="shared" si="1"/>
        <v/>
      </c>
      <c r="M99" s="3"/>
      <c r="N99" s="3"/>
      <c r="O99" s="3"/>
      <c r="P99" s="3"/>
      <c r="Q99" s="3"/>
      <c r="R99" s="3"/>
      <c r="S99" s="3"/>
      <c r="T99" s="3"/>
      <c r="U99" s="3"/>
      <c r="V99" s="3"/>
      <c r="W99" s="3"/>
      <c r="X99" s="3"/>
      <c r="Y99" s="3"/>
      <c r="Z99" s="3"/>
    </row>
    <row r="100" ht="33.75" customHeight="1">
      <c r="A100" s="21"/>
      <c r="B100" s="21"/>
      <c r="C100" s="21"/>
      <c r="D100" s="21"/>
      <c r="E100" s="21"/>
      <c r="F100" s="21"/>
      <c r="G100" s="21"/>
      <c r="H100" s="21"/>
      <c r="I100" s="21"/>
      <c r="J100" s="21"/>
      <c r="K100" s="21"/>
      <c r="L100" s="22" t="str">
        <f t="shared" si="1"/>
        <v/>
      </c>
      <c r="M100" s="3"/>
      <c r="N100" s="3"/>
      <c r="O100" s="3"/>
      <c r="P100" s="3"/>
      <c r="Q100" s="3"/>
      <c r="R100" s="3"/>
      <c r="S100" s="3"/>
      <c r="T100" s="3"/>
      <c r="U100" s="3"/>
      <c r="V100" s="3"/>
      <c r="W100" s="3"/>
      <c r="X100" s="3"/>
      <c r="Y100" s="3"/>
      <c r="Z100" s="3"/>
    </row>
    <row r="101" ht="33.75" customHeight="1">
      <c r="A101" s="23"/>
      <c r="B101" s="23"/>
      <c r="C101" s="23"/>
      <c r="D101" s="23"/>
      <c r="E101" s="23"/>
      <c r="F101" s="23"/>
      <c r="G101" s="23"/>
      <c r="H101" s="23"/>
      <c r="I101" s="23"/>
      <c r="J101" s="23"/>
      <c r="K101" s="23"/>
      <c r="L101" s="22" t="str">
        <f t="shared" si="1"/>
        <v/>
      </c>
      <c r="M101" s="3"/>
      <c r="N101" s="3"/>
      <c r="O101" s="3"/>
      <c r="P101" s="3"/>
      <c r="Q101" s="3"/>
      <c r="R101" s="3"/>
      <c r="S101" s="3"/>
      <c r="T101" s="3"/>
      <c r="U101" s="3"/>
      <c r="V101" s="3"/>
      <c r="W101" s="3"/>
      <c r="X101" s="3"/>
      <c r="Y101" s="3"/>
      <c r="Z101" s="3"/>
    </row>
    <row r="102" ht="33.75" customHeight="1">
      <c r="A102" s="21"/>
      <c r="B102" s="21"/>
      <c r="C102" s="21"/>
      <c r="D102" s="21"/>
      <c r="E102" s="21"/>
      <c r="F102" s="21"/>
      <c r="G102" s="21"/>
      <c r="H102" s="21"/>
      <c r="I102" s="21"/>
      <c r="J102" s="21"/>
      <c r="K102" s="21"/>
      <c r="L102" s="22" t="str">
        <f t="shared" si="1"/>
        <v/>
      </c>
      <c r="M102" s="3"/>
      <c r="N102" s="3"/>
      <c r="O102" s="3"/>
      <c r="P102" s="3"/>
      <c r="Q102" s="3"/>
      <c r="R102" s="3"/>
      <c r="S102" s="3"/>
      <c r="T102" s="3"/>
      <c r="U102" s="3"/>
      <c r="V102" s="3"/>
      <c r="W102" s="3"/>
      <c r="X102" s="3"/>
      <c r="Y102" s="3"/>
      <c r="Z102" s="3"/>
    </row>
    <row r="103" ht="33.75" customHeight="1">
      <c r="A103" s="23"/>
      <c r="B103" s="23"/>
      <c r="C103" s="23"/>
      <c r="D103" s="23"/>
      <c r="E103" s="23"/>
      <c r="F103" s="23"/>
      <c r="G103" s="23"/>
      <c r="H103" s="23"/>
      <c r="I103" s="23"/>
      <c r="J103" s="23"/>
      <c r="K103" s="23"/>
      <c r="L103" s="22" t="str">
        <f t="shared" si="1"/>
        <v/>
      </c>
      <c r="M103" s="3"/>
      <c r="N103" s="3"/>
      <c r="O103" s="3"/>
      <c r="P103" s="3"/>
      <c r="Q103" s="3"/>
      <c r="R103" s="3"/>
      <c r="S103" s="3"/>
      <c r="T103" s="3"/>
      <c r="U103" s="3"/>
      <c r="V103" s="3"/>
      <c r="W103" s="3"/>
      <c r="X103" s="3"/>
      <c r="Y103" s="3"/>
      <c r="Z103" s="3"/>
    </row>
    <row r="104" ht="33.75" customHeight="1">
      <c r="A104" s="21"/>
      <c r="B104" s="21"/>
      <c r="C104" s="21"/>
      <c r="D104" s="21"/>
      <c r="E104" s="21"/>
      <c r="F104" s="21"/>
      <c r="G104" s="21"/>
      <c r="H104" s="21"/>
      <c r="I104" s="21"/>
      <c r="J104" s="21"/>
      <c r="K104" s="21"/>
      <c r="L104" s="22" t="str">
        <f t="shared" si="1"/>
        <v/>
      </c>
      <c r="M104" s="3"/>
      <c r="N104" s="3"/>
      <c r="O104" s="3"/>
      <c r="P104" s="3"/>
      <c r="Q104" s="3"/>
      <c r="R104" s="3"/>
      <c r="S104" s="3"/>
      <c r="T104" s="3"/>
      <c r="U104" s="3"/>
      <c r="V104" s="3"/>
      <c r="W104" s="3"/>
      <c r="X104" s="3"/>
      <c r="Y104" s="3"/>
      <c r="Z104" s="3"/>
    </row>
    <row r="105" ht="33.75" customHeight="1">
      <c r="A105" s="23"/>
      <c r="B105" s="23"/>
      <c r="C105" s="23"/>
      <c r="D105" s="23"/>
      <c r="E105" s="23"/>
      <c r="F105" s="23"/>
      <c r="G105" s="23"/>
      <c r="H105" s="23"/>
      <c r="I105" s="23"/>
      <c r="J105" s="23"/>
      <c r="K105" s="23"/>
      <c r="L105" s="22" t="str">
        <f t="shared" si="1"/>
        <v/>
      </c>
      <c r="M105" s="3"/>
      <c r="N105" s="3"/>
      <c r="O105" s="3"/>
      <c r="P105" s="3"/>
      <c r="Q105" s="3"/>
      <c r="R105" s="3"/>
      <c r="S105" s="3"/>
      <c r="T105" s="3"/>
      <c r="U105" s="3"/>
      <c r="V105" s="3"/>
      <c r="W105" s="3"/>
      <c r="X105" s="3"/>
      <c r="Y105" s="3"/>
      <c r="Z105" s="3"/>
    </row>
    <row r="106" ht="33.75" customHeight="1">
      <c r="A106" s="21"/>
      <c r="B106" s="21"/>
      <c r="C106" s="21"/>
      <c r="D106" s="21"/>
      <c r="E106" s="21"/>
      <c r="F106" s="21"/>
      <c r="G106" s="21"/>
      <c r="H106" s="21"/>
      <c r="I106" s="21"/>
      <c r="J106" s="21"/>
      <c r="K106" s="21"/>
      <c r="L106" s="22" t="str">
        <f t="shared" si="1"/>
        <v/>
      </c>
      <c r="M106" s="3"/>
      <c r="N106" s="3"/>
      <c r="O106" s="3"/>
      <c r="P106" s="3"/>
      <c r="Q106" s="3"/>
      <c r="R106" s="3"/>
      <c r="S106" s="3"/>
      <c r="T106" s="3"/>
      <c r="U106" s="3"/>
      <c r="V106" s="3"/>
      <c r="W106" s="3"/>
      <c r="X106" s="3"/>
      <c r="Y106" s="3"/>
      <c r="Z106" s="3"/>
    </row>
    <row r="107" ht="33.75" customHeight="1">
      <c r="A107" s="23"/>
      <c r="B107" s="23"/>
      <c r="C107" s="23"/>
      <c r="D107" s="23"/>
      <c r="E107" s="23"/>
      <c r="F107" s="23"/>
      <c r="G107" s="23"/>
      <c r="H107" s="23"/>
      <c r="I107" s="23"/>
      <c r="J107" s="23"/>
      <c r="K107" s="23"/>
      <c r="L107" s="22" t="str">
        <f t="shared" si="1"/>
        <v/>
      </c>
      <c r="M107" s="3"/>
      <c r="N107" s="3"/>
      <c r="O107" s="3"/>
      <c r="P107" s="3"/>
      <c r="Q107" s="3"/>
      <c r="R107" s="3"/>
      <c r="S107" s="3"/>
      <c r="T107" s="3"/>
      <c r="U107" s="3"/>
      <c r="V107" s="3"/>
      <c r="W107" s="3"/>
      <c r="X107" s="3"/>
      <c r="Y107" s="3"/>
      <c r="Z107" s="3"/>
    </row>
    <row r="108" ht="33.75" customHeight="1">
      <c r="A108" s="21"/>
      <c r="B108" s="21"/>
      <c r="C108" s="21"/>
      <c r="D108" s="21"/>
      <c r="E108" s="21"/>
      <c r="F108" s="21"/>
      <c r="G108" s="21"/>
      <c r="H108" s="21"/>
      <c r="I108" s="21"/>
      <c r="J108" s="21"/>
      <c r="K108" s="21"/>
      <c r="L108" s="22" t="str">
        <f t="shared" si="1"/>
        <v/>
      </c>
      <c r="M108" s="3"/>
      <c r="N108" s="3"/>
      <c r="O108" s="3"/>
      <c r="P108" s="3"/>
      <c r="Q108" s="3"/>
      <c r="R108" s="3"/>
      <c r="S108" s="3"/>
      <c r="T108" s="3"/>
      <c r="U108" s="3"/>
      <c r="V108" s="3"/>
      <c r="W108" s="3"/>
      <c r="X108" s="3"/>
      <c r="Y108" s="3"/>
      <c r="Z108" s="3"/>
    </row>
    <row r="109" ht="33.75" customHeight="1">
      <c r="A109" s="23"/>
      <c r="B109" s="23"/>
      <c r="C109" s="23"/>
      <c r="D109" s="23"/>
      <c r="E109" s="23"/>
      <c r="F109" s="23"/>
      <c r="G109" s="23"/>
      <c r="H109" s="23"/>
      <c r="I109" s="23"/>
      <c r="J109" s="23"/>
      <c r="K109" s="23"/>
      <c r="L109" s="22" t="str">
        <f t="shared" si="1"/>
        <v/>
      </c>
      <c r="M109" s="3"/>
      <c r="N109" s="3"/>
      <c r="O109" s="3"/>
      <c r="P109" s="3"/>
      <c r="Q109" s="3"/>
      <c r="R109" s="3"/>
      <c r="S109" s="3"/>
      <c r="T109" s="3"/>
      <c r="U109" s="3"/>
      <c r="V109" s="3"/>
      <c r="W109" s="3"/>
      <c r="X109" s="3"/>
      <c r="Y109" s="3"/>
      <c r="Z109" s="3"/>
    </row>
    <row r="110" ht="33.75" customHeight="1">
      <c r="A110" s="21"/>
      <c r="B110" s="21"/>
      <c r="C110" s="21"/>
      <c r="D110" s="21"/>
      <c r="E110" s="21"/>
      <c r="F110" s="21"/>
      <c r="G110" s="21"/>
      <c r="H110" s="21"/>
      <c r="I110" s="21"/>
      <c r="J110" s="21"/>
      <c r="K110" s="21"/>
      <c r="L110" s="22" t="str">
        <f t="shared" si="1"/>
        <v/>
      </c>
      <c r="M110" s="3"/>
      <c r="N110" s="3"/>
      <c r="O110" s="3"/>
      <c r="P110" s="3"/>
      <c r="Q110" s="3"/>
      <c r="R110" s="3"/>
      <c r="S110" s="3"/>
      <c r="T110" s="3"/>
      <c r="U110" s="3"/>
      <c r="V110" s="3"/>
      <c r="W110" s="3"/>
      <c r="X110" s="3"/>
      <c r="Y110" s="3"/>
      <c r="Z110" s="3"/>
    </row>
    <row r="111" ht="33.75" customHeight="1">
      <c r="A111" s="23"/>
      <c r="B111" s="23"/>
      <c r="C111" s="23"/>
      <c r="D111" s="23"/>
      <c r="E111" s="23"/>
      <c r="F111" s="23"/>
      <c r="G111" s="23"/>
      <c r="H111" s="23"/>
      <c r="I111" s="23"/>
      <c r="J111" s="23"/>
      <c r="K111" s="23"/>
      <c r="L111" s="22" t="str">
        <f t="shared" si="1"/>
        <v/>
      </c>
      <c r="M111" s="3"/>
      <c r="N111" s="3"/>
      <c r="O111" s="3"/>
      <c r="P111" s="3"/>
      <c r="Q111" s="3"/>
      <c r="R111" s="3"/>
      <c r="S111" s="3"/>
      <c r="T111" s="3"/>
      <c r="U111" s="3"/>
      <c r="V111" s="3"/>
      <c r="W111" s="3"/>
      <c r="X111" s="3"/>
      <c r="Y111" s="3"/>
      <c r="Z111" s="3"/>
    </row>
    <row r="112" ht="33.75" customHeight="1">
      <c r="A112" s="21"/>
      <c r="B112" s="21"/>
      <c r="C112" s="21"/>
      <c r="D112" s="21"/>
      <c r="E112" s="21"/>
      <c r="F112" s="21"/>
      <c r="G112" s="21"/>
      <c r="H112" s="21"/>
      <c r="I112" s="21"/>
      <c r="J112" s="21"/>
      <c r="K112" s="21"/>
      <c r="L112" s="22" t="str">
        <f t="shared" si="1"/>
        <v/>
      </c>
      <c r="M112" s="3"/>
      <c r="N112" s="3"/>
      <c r="O112" s="3"/>
      <c r="P112" s="3"/>
      <c r="Q112" s="3"/>
      <c r="R112" s="3"/>
      <c r="S112" s="3"/>
      <c r="T112" s="3"/>
      <c r="U112" s="3"/>
      <c r="V112" s="3"/>
      <c r="W112" s="3"/>
      <c r="X112" s="3"/>
      <c r="Y112" s="3"/>
      <c r="Z112" s="3"/>
    </row>
    <row r="113" ht="33.75" customHeight="1">
      <c r="A113" s="23"/>
      <c r="B113" s="23"/>
      <c r="C113" s="23"/>
      <c r="D113" s="23"/>
      <c r="E113" s="23"/>
      <c r="F113" s="23"/>
      <c r="G113" s="23"/>
      <c r="H113" s="23"/>
      <c r="I113" s="23"/>
      <c r="J113" s="23"/>
      <c r="K113" s="23"/>
      <c r="L113" s="22" t="str">
        <f t="shared" si="1"/>
        <v/>
      </c>
      <c r="M113" s="3"/>
      <c r="N113" s="3"/>
      <c r="O113" s="3"/>
      <c r="P113" s="3"/>
      <c r="Q113" s="3"/>
      <c r="R113" s="3"/>
      <c r="S113" s="3"/>
      <c r="T113" s="3"/>
      <c r="U113" s="3"/>
      <c r="V113" s="3"/>
      <c r="W113" s="3"/>
      <c r="X113" s="3"/>
      <c r="Y113" s="3"/>
      <c r="Z113" s="3"/>
    </row>
    <row r="114" ht="33.75" customHeight="1">
      <c r="A114" s="21"/>
      <c r="B114" s="21"/>
      <c r="C114" s="21"/>
      <c r="D114" s="21"/>
      <c r="E114" s="21"/>
      <c r="F114" s="21"/>
      <c r="G114" s="21"/>
      <c r="H114" s="21"/>
      <c r="I114" s="21"/>
      <c r="J114" s="21"/>
      <c r="K114" s="21"/>
      <c r="L114" s="22" t="str">
        <f t="shared" si="1"/>
        <v/>
      </c>
      <c r="M114" s="3"/>
      <c r="N114" s="3"/>
      <c r="O114" s="3"/>
      <c r="P114" s="3"/>
      <c r="Q114" s="3"/>
      <c r="R114" s="3"/>
      <c r="S114" s="3"/>
      <c r="T114" s="3"/>
      <c r="U114" s="3"/>
      <c r="V114" s="3"/>
      <c r="W114" s="3"/>
      <c r="X114" s="3"/>
      <c r="Y114" s="3"/>
      <c r="Z114" s="3"/>
    </row>
    <row r="115" ht="33.75" customHeight="1">
      <c r="A115" s="23"/>
      <c r="B115" s="23"/>
      <c r="C115" s="23"/>
      <c r="D115" s="23"/>
      <c r="E115" s="23"/>
      <c r="F115" s="23"/>
      <c r="G115" s="23"/>
      <c r="H115" s="23"/>
      <c r="I115" s="23"/>
      <c r="J115" s="23"/>
      <c r="K115" s="23"/>
      <c r="L115" s="22" t="str">
        <f t="shared" si="1"/>
        <v/>
      </c>
      <c r="M115" s="3"/>
      <c r="N115" s="3"/>
      <c r="O115" s="3"/>
      <c r="P115" s="3"/>
      <c r="Q115" s="3"/>
      <c r="R115" s="3"/>
      <c r="S115" s="3"/>
      <c r="T115" s="3"/>
      <c r="U115" s="3"/>
      <c r="V115" s="3"/>
      <c r="W115" s="3"/>
      <c r="X115" s="3"/>
      <c r="Y115" s="3"/>
      <c r="Z115" s="3"/>
    </row>
    <row r="116" ht="33.75" customHeight="1">
      <c r="A116" s="21"/>
      <c r="B116" s="21"/>
      <c r="C116" s="21"/>
      <c r="D116" s="21"/>
      <c r="E116" s="21"/>
      <c r="F116" s="21"/>
      <c r="G116" s="21"/>
      <c r="H116" s="21"/>
      <c r="I116" s="21"/>
      <c r="J116" s="21"/>
      <c r="K116" s="21"/>
      <c r="L116" s="22" t="str">
        <f t="shared" si="1"/>
        <v/>
      </c>
      <c r="M116" s="3"/>
      <c r="N116" s="3"/>
      <c r="O116" s="3"/>
      <c r="P116" s="3"/>
      <c r="Q116" s="3"/>
      <c r="R116" s="3"/>
      <c r="S116" s="3"/>
      <c r="T116" s="3"/>
      <c r="U116" s="3"/>
      <c r="V116" s="3"/>
      <c r="W116" s="3"/>
      <c r="X116" s="3"/>
      <c r="Y116" s="3"/>
      <c r="Z116" s="3"/>
    </row>
    <row r="117" ht="33.75" customHeight="1">
      <c r="A117" s="23"/>
      <c r="B117" s="23"/>
      <c r="C117" s="23"/>
      <c r="D117" s="23"/>
      <c r="E117" s="23"/>
      <c r="F117" s="23"/>
      <c r="G117" s="23"/>
      <c r="H117" s="23"/>
      <c r="I117" s="23"/>
      <c r="J117" s="23"/>
      <c r="K117" s="23"/>
      <c r="L117" s="22" t="str">
        <f t="shared" si="1"/>
        <v/>
      </c>
      <c r="M117" s="3"/>
      <c r="N117" s="3"/>
      <c r="O117" s="3"/>
      <c r="P117" s="3"/>
      <c r="Q117" s="3"/>
      <c r="R117" s="3"/>
      <c r="S117" s="3"/>
      <c r="T117" s="3"/>
      <c r="U117" s="3"/>
      <c r="V117" s="3"/>
      <c r="W117" s="3"/>
      <c r="X117" s="3"/>
      <c r="Y117" s="3"/>
      <c r="Z117" s="3"/>
    </row>
    <row r="118" ht="33.75" customHeight="1">
      <c r="A118" s="21"/>
      <c r="B118" s="21"/>
      <c r="C118" s="21"/>
      <c r="D118" s="21"/>
      <c r="E118" s="21"/>
      <c r="F118" s="21"/>
      <c r="G118" s="21"/>
      <c r="H118" s="21"/>
      <c r="I118" s="21"/>
      <c r="J118" s="21"/>
      <c r="K118" s="21"/>
      <c r="L118" s="22" t="str">
        <f t="shared" si="1"/>
        <v/>
      </c>
      <c r="M118" s="3"/>
      <c r="N118" s="3"/>
      <c r="O118" s="3"/>
      <c r="P118" s="3"/>
      <c r="Q118" s="3"/>
      <c r="R118" s="3"/>
      <c r="S118" s="3"/>
      <c r="T118" s="3"/>
      <c r="U118" s="3"/>
      <c r="V118" s="3"/>
      <c r="W118" s="3"/>
      <c r="X118" s="3"/>
      <c r="Y118" s="3"/>
      <c r="Z118" s="3"/>
    </row>
    <row r="119" ht="33.75" customHeight="1">
      <c r="A119" s="23"/>
      <c r="B119" s="23"/>
      <c r="C119" s="23"/>
      <c r="D119" s="23"/>
      <c r="E119" s="23"/>
      <c r="F119" s="23"/>
      <c r="G119" s="23"/>
      <c r="H119" s="23"/>
      <c r="I119" s="23"/>
      <c r="J119" s="23"/>
      <c r="K119" s="23"/>
      <c r="L119" s="22" t="str">
        <f t="shared" si="1"/>
        <v/>
      </c>
      <c r="M119" s="3"/>
      <c r="N119" s="3"/>
      <c r="O119" s="3"/>
      <c r="P119" s="3"/>
      <c r="Q119" s="3"/>
      <c r="R119" s="3"/>
      <c r="S119" s="3"/>
      <c r="T119" s="3"/>
      <c r="U119" s="3"/>
      <c r="V119" s="3"/>
      <c r="W119" s="3"/>
      <c r="X119" s="3"/>
      <c r="Y119" s="3"/>
      <c r="Z119" s="3"/>
    </row>
    <row r="120" ht="33.75" customHeight="1">
      <c r="A120" s="21"/>
      <c r="B120" s="21"/>
      <c r="C120" s="21"/>
      <c r="D120" s="21"/>
      <c r="E120" s="21"/>
      <c r="F120" s="21"/>
      <c r="G120" s="21"/>
      <c r="H120" s="21"/>
      <c r="I120" s="21"/>
      <c r="J120" s="21"/>
      <c r="K120" s="21"/>
      <c r="L120" s="22" t="str">
        <f t="shared" si="1"/>
        <v/>
      </c>
      <c r="M120" s="3"/>
      <c r="N120" s="3"/>
      <c r="O120" s="3"/>
      <c r="P120" s="3"/>
      <c r="Q120" s="3"/>
      <c r="R120" s="3"/>
      <c r="S120" s="3"/>
      <c r="T120" s="3"/>
      <c r="U120" s="3"/>
      <c r="V120" s="3"/>
      <c r="W120" s="3"/>
      <c r="X120" s="3"/>
      <c r="Y120" s="3"/>
      <c r="Z120" s="3"/>
    </row>
    <row r="121" ht="33.75" customHeight="1">
      <c r="A121" s="23"/>
      <c r="B121" s="23"/>
      <c r="C121" s="23"/>
      <c r="D121" s="23"/>
      <c r="E121" s="23"/>
      <c r="F121" s="23"/>
      <c r="G121" s="23"/>
      <c r="H121" s="23"/>
      <c r="I121" s="23"/>
      <c r="J121" s="23"/>
      <c r="K121" s="23"/>
      <c r="L121" s="22" t="str">
        <f t="shared" si="1"/>
        <v/>
      </c>
      <c r="M121" s="3"/>
      <c r="N121" s="3"/>
      <c r="O121" s="3"/>
      <c r="P121" s="3"/>
      <c r="Q121" s="3"/>
      <c r="R121" s="3"/>
      <c r="S121" s="3"/>
      <c r="T121" s="3"/>
      <c r="U121" s="3"/>
      <c r="V121" s="3"/>
      <c r="W121" s="3"/>
      <c r="X121" s="3"/>
      <c r="Y121" s="3"/>
      <c r="Z121" s="3"/>
    </row>
    <row r="122" ht="33.75" customHeight="1">
      <c r="A122" s="21"/>
      <c r="B122" s="21"/>
      <c r="C122" s="21"/>
      <c r="D122" s="21"/>
      <c r="E122" s="21"/>
      <c r="F122" s="21"/>
      <c r="G122" s="21"/>
      <c r="H122" s="21"/>
      <c r="I122" s="21"/>
      <c r="J122" s="21"/>
      <c r="K122" s="21"/>
      <c r="L122" s="22" t="str">
        <f t="shared" si="1"/>
        <v/>
      </c>
      <c r="M122" s="3"/>
      <c r="N122" s="3"/>
      <c r="O122" s="3"/>
      <c r="P122" s="3"/>
      <c r="Q122" s="3"/>
      <c r="R122" s="3"/>
      <c r="S122" s="3"/>
      <c r="T122" s="3"/>
      <c r="U122" s="3"/>
      <c r="V122" s="3"/>
      <c r="W122" s="3"/>
      <c r="X122" s="3"/>
      <c r="Y122" s="3"/>
      <c r="Z122" s="3"/>
    </row>
    <row r="123" ht="33.75" customHeight="1">
      <c r="A123" s="23"/>
      <c r="B123" s="23"/>
      <c r="C123" s="23"/>
      <c r="D123" s="23"/>
      <c r="E123" s="23"/>
      <c r="F123" s="23"/>
      <c r="G123" s="23"/>
      <c r="H123" s="23"/>
      <c r="I123" s="23"/>
      <c r="J123" s="23"/>
      <c r="K123" s="23"/>
      <c r="L123" s="22" t="str">
        <f t="shared" si="1"/>
        <v/>
      </c>
      <c r="M123" s="3"/>
      <c r="N123" s="3"/>
      <c r="O123" s="3"/>
      <c r="P123" s="3"/>
      <c r="Q123" s="3"/>
      <c r="R123" s="3"/>
      <c r="S123" s="3"/>
      <c r="T123" s="3"/>
      <c r="U123" s="3"/>
      <c r="V123" s="3"/>
      <c r="W123" s="3"/>
      <c r="X123" s="3"/>
      <c r="Y123" s="3"/>
      <c r="Z123" s="3"/>
    </row>
    <row r="124" ht="33.75" customHeight="1">
      <c r="A124" s="21"/>
      <c r="B124" s="21"/>
      <c r="C124" s="21"/>
      <c r="D124" s="21"/>
      <c r="E124" s="21"/>
      <c r="F124" s="21"/>
      <c r="G124" s="21"/>
      <c r="H124" s="21"/>
      <c r="I124" s="21"/>
      <c r="J124" s="21"/>
      <c r="K124" s="21"/>
      <c r="L124" s="22" t="str">
        <f t="shared" si="1"/>
        <v/>
      </c>
      <c r="M124" s="3"/>
      <c r="N124" s="3"/>
      <c r="O124" s="3"/>
      <c r="P124" s="3"/>
      <c r="Q124" s="3"/>
      <c r="R124" s="3"/>
      <c r="S124" s="3"/>
      <c r="T124" s="3"/>
      <c r="U124" s="3"/>
      <c r="V124" s="3"/>
      <c r="W124" s="3"/>
      <c r="X124" s="3"/>
      <c r="Y124" s="3"/>
      <c r="Z124" s="3"/>
    </row>
    <row r="125" ht="33.75" customHeight="1">
      <c r="A125" s="23"/>
      <c r="B125" s="23"/>
      <c r="C125" s="23"/>
      <c r="D125" s="23"/>
      <c r="E125" s="23"/>
      <c r="F125" s="23"/>
      <c r="G125" s="23"/>
      <c r="H125" s="23"/>
      <c r="I125" s="23"/>
      <c r="J125" s="23"/>
      <c r="K125" s="23"/>
      <c r="L125" s="22" t="str">
        <f t="shared" si="1"/>
        <v/>
      </c>
      <c r="M125" s="3"/>
      <c r="N125" s="3"/>
      <c r="O125" s="3"/>
      <c r="P125" s="3"/>
      <c r="Q125" s="3"/>
      <c r="R125" s="3"/>
      <c r="S125" s="3"/>
      <c r="T125" s="3"/>
      <c r="U125" s="3"/>
      <c r="V125" s="3"/>
      <c r="W125" s="3"/>
      <c r="X125" s="3"/>
      <c r="Y125" s="3"/>
      <c r="Z125" s="3"/>
    </row>
    <row r="126" ht="33.75" customHeight="1">
      <c r="A126" s="21"/>
      <c r="B126" s="21"/>
      <c r="C126" s="21"/>
      <c r="D126" s="21"/>
      <c r="E126" s="21"/>
      <c r="F126" s="21"/>
      <c r="G126" s="21"/>
      <c r="H126" s="21"/>
      <c r="I126" s="21"/>
      <c r="J126" s="21"/>
      <c r="K126" s="21"/>
      <c r="L126" s="22" t="str">
        <f t="shared" si="1"/>
        <v/>
      </c>
      <c r="M126" s="3"/>
      <c r="N126" s="3"/>
      <c r="O126" s="3"/>
      <c r="P126" s="3"/>
      <c r="Q126" s="3"/>
      <c r="R126" s="3"/>
      <c r="S126" s="3"/>
      <c r="T126" s="3"/>
      <c r="U126" s="3"/>
      <c r="V126" s="3"/>
      <c r="W126" s="3"/>
      <c r="X126" s="3"/>
      <c r="Y126" s="3"/>
      <c r="Z126" s="3"/>
    </row>
    <row r="127" ht="33.75" customHeight="1">
      <c r="A127" s="23"/>
      <c r="B127" s="23"/>
      <c r="C127" s="23"/>
      <c r="D127" s="23"/>
      <c r="E127" s="23"/>
      <c r="F127" s="23"/>
      <c r="G127" s="23"/>
      <c r="H127" s="23"/>
      <c r="I127" s="23"/>
      <c r="J127" s="23"/>
      <c r="K127" s="23"/>
      <c r="L127" s="22" t="str">
        <f t="shared" si="1"/>
        <v/>
      </c>
      <c r="M127" s="3"/>
      <c r="N127" s="3"/>
      <c r="O127" s="3"/>
      <c r="P127" s="3"/>
      <c r="Q127" s="3"/>
      <c r="R127" s="3"/>
      <c r="S127" s="3"/>
      <c r="T127" s="3"/>
      <c r="U127" s="3"/>
      <c r="V127" s="3"/>
      <c r="W127" s="3"/>
      <c r="X127" s="3"/>
      <c r="Y127" s="3"/>
      <c r="Z127" s="3"/>
    </row>
    <row r="128" ht="33.75" customHeight="1">
      <c r="A128" s="21"/>
      <c r="B128" s="21"/>
      <c r="C128" s="21"/>
      <c r="D128" s="21"/>
      <c r="E128" s="21"/>
      <c r="F128" s="21"/>
      <c r="G128" s="21"/>
      <c r="H128" s="21"/>
      <c r="I128" s="21"/>
      <c r="J128" s="21"/>
      <c r="K128" s="21"/>
      <c r="L128" s="22" t="str">
        <f t="shared" si="1"/>
        <v/>
      </c>
      <c r="M128" s="3"/>
      <c r="N128" s="3"/>
      <c r="O128" s="3"/>
      <c r="P128" s="3"/>
      <c r="Q128" s="3"/>
      <c r="R128" s="3"/>
      <c r="S128" s="3"/>
      <c r="T128" s="3"/>
      <c r="U128" s="3"/>
      <c r="V128" s="3"/>
      <c r="W128" s="3"/>
      <c r="X128" s="3"/>
      <c r="Y128" s="3"/>
      <c r="Z128" s="3"/>
    </row>
    <row r="129" ht="33.75" customHeight="1">
      <c r="A129" s="23"/>
      <c r="B129" s="23"/>
      <c r="C129" s="23"/>
      <c r="D129" s="23"/>
      <c r="E129" s="23"/>
      <c r="F129" s="23"/>
      <c r="G129" s="23"/>
      <c r="H129" s="23"/>
      <c r="I129" s="23"/>
      <c r="J129" s="23"/>
      <c r="K129" s="23"/>
      <c r="L129" s="22" t="str">
        <f t="shared" si="1"/>
        <v/>
      </c>
      <c r="M129" s="3"/>
      <c r="N129" s="3"/>
      <c r="O129" s="3"/>
      <c r="P129" s="3"/>
      <c r="Q129" s="3"/>
      <c r="R129" s="3"/>
      <c r="S129" s="3"/>
      <c r="T129" s="3"/>
      <c r="U129" s="3"/>
      <c r="V129" s="3"/>
      <c r="W129" s="3"/>
      <c r="X129" s="3"/>
      <c r="Y129" s="3"/>
      <c r="Z129" s="3"/>
    </row>
    <row r="130" ht="33.75" customHeight="1">
      <c r="A130" s="21"/>
      <c r="B130" s="21"/>
      <c r="C130" s="21"/>
      <c r="D130" s="21"/>
      <c r="E130" s="21"/>
      <c r="F130" s="21"/>
      <c r="G130" s="21"/>
      <c r="H130" s="21"/>
      <c r="I130" s="21"/>
      <c r="J130" s="21"/>
      <c r="K130" s="21"/>
      <c r="L130" s="22" t="str">
        <f t="shared" si="1"/>
        <v/>
      </c>
      <c r="M130" s="3"/>
      <c r="N130" s="3"/>
      <c r="O130" s="3"/>
      <c r="P130" s="3"/>
      <c r="Q130" s="3"/>
      <c r="R130" s="3"/>
      <c r="S130" s="3"/>
      <c r="T130" s="3"/>
      <c r="U130" s="3"/>
      <c r="V130" s="3"/>
      <c r="W130" s="3"/>
      <c r="X130" s="3"/>
      <c r="Y130" s="3"/>
      <c r="Z130" s="3"/>
    </row>
    <row r="131" ht="33.75" customHeight="1">
      <c r="A131" s="23"/>
      <c r="B131" s="23"/>
      <c r="C131" s="23"/>
      <c r="D131" s="23"/>
      <c r="E131" s="23"/>
      <c r="F131" s="23"/>
      <c r="G131" s="23"/>
      <c r="H131" s="23"/>
      <c r="I131" s="23"/>
      <c r="J131" s="23"/>
      <c r="K131" s="23"/>
      <c r="L131" s="22" t="str">
        <f t="shared" si="1"/>
        <v/>
      </c>
      <c r="M131" s="3"/>
      <c r="N131" s="3"/>
      <c r="O131" s="3"/>
      <c r="P131" s="3"/>
      <c r="Q131" s="3"/>
      <c r="R131" s="3"/>
      <c r="S131" s="3"/>
      <c r="T131" s="3"/>
      <c r="U131" s="3"/>
      <c r="V131" s="3"/>
      <c r="W131" s="3"/>
      <c r="X131" s="3"/>
      <c r="Y131" s="3"/>
      <c r="Z131" s="3"/>
    </row>
    <row r="132" ht="33.75" customHeight="1">
      <c r="A132" s="21"/>
      <c r="B132" s="21"/>
      <c r="C132" s="21"/>
      <c r="D132" s="21"/>
      <c r="E132" s="21"/>
      <c r="F132" s="21"/>
      <c r="G132" s="21"/>
      <c r="H132" s="21"/>
      <c r="I132" s="21"/>
      <c r="J132" s="21"/>
      <c r="K132" s="21"/>
      <c r="L132" s="22" t="str">
        <f t="shared" si="1"/>
        <v/>
      </c>
      <c r="M132" s="3"/>
      <c r="N132" s="3"/>
      <c r="O132" s="3"/>
      <c r="P132" s="3"/>
      <c r="Q132" s="3"/>
      <c r="R132" s="3"/>
      <c r="S132" s="3"/>
      <c r="T132" s="3"/>
      <c r="U132" s="3"/>
      <c r="V132" s="3"/>
      <c r="W132" s="3"/>
      <c r="X132" s="3"/>
      <c r="Y132" s="3"/>
      <c r="Z132" s="3"/>
    </row>
    <row r="133" ht="33.75" customHeight="1">
      <c r="A133" s="23"/>
      <c r="B133" s="23"/>
      <c r="C133" s="23"/>
      <c r="D133" s="23"/>
      <c r="E133" s="23"/>
      <c r="F133" s="23"/>
      <c r="G133" s="23"/>
      <c r="H133" s="23"/>
      <c r="I133" s="23"/>
      <c r="J133" s="23"/>
      <c r="K133" s="23"/>
      <c r="L133" s="22" t="str">
        <f t="shared" si="1"/>
        <v/>
      </c>
      <c r="M133" s="3"/>
      <c r="N133" s="3"/>
      <c r="O133" s="3"/>
      <c r="P133" s="3"/>
      <c r="Q133" s="3"/>
      <c r="R133" s="3"/>
      <c r="S133" s="3"/>
      <c r="T133" s="3"/>
      <c r="U133" s="3"/>
      <c r="V133" s="3"/>
      <c r="W133" s="3"/>
      <c r="X133" s="3"/>
      <c r="Y133" s="3"/>
      <c r="Z133" s="3"/>
    </row>
    <row r="134" ht="33.75" customHeight="1">
      <c r="A134" s="21"/>
      <c r="B134" s="21"/>
      <c r="C134" s="21"/>
      <c r="D134" s="21"/>
      <c r="E134" s="21"/>
      <c r="F134" s="21"/>
      <c r="G134" s="21"/>
      <c r="H134" s="21"/>
      <c r="I134" s="21"/>
      <c r="J134" s="21"/>
      <c r="K134" s="21"/>
      <c r="L134" s="22" t="str">
        <f t="shared" si="1"/>
        <v/>
      </c>
      <c r="M134" s="3"/>
      <c r="N134" s="3"/>
      <c r="O134" s="3"/>
      <c r="P134" s="3"/>
      <c r="Q134" s="3"/>
      <c r="R134" s="3"/>
      <c r="S134" s="3"/>
      <c r="T134" s="3"/>
      <c r="U134" s="3"/>
      <c r="V134" s="3"/>
      <c r="W134" s="3"/>
      <c r="X134" s="3"/>
      <c r="Y134" s="3"/>
      <c r="Z134" s="3"/>
    </row>
    <row r="135" ht="33.75" customHeight="1">
      <c r="A135" s="23"/>
      <c r="B135" s="23"/>
      <c r="C135" s="23"/>
      <c r="D135" s="23"/>
      <c r="E135" s="23"/>
      <c r="F135" s="23"/>
      <c r="G135" s="23"/>
      <c r="H135" s="23"/>
      <c r="I135" s="23"/>
      <c r="J135" s="23"/>
      <c r="K135" s="23"/>
      <c r="L135" s="22" t="str">
        <f t="shared" si="1"/>
        <v/>
      </c>
      <c r="M135" s="3"/>
      <c r="N135" s="3"/>
      <c r="O135" s="3"/>
      <c r="P135" s="3"/>
      <c r="Q135" s="3"/>
      <c r="R135" s="3"/>
      <c r="S135" s="3"/>
      <c r="T135" s="3"/>
      <c r="U135" s="3"/>
      <c r="V135" s="3"/>
      <c r="W135" s="3"/>
      <c r="X135" s="3"/>
      <c r="Y135" s="3"/>
      <c r="Z135" s="3"/>
    </row>
    <row r="136" ht="33.75" customHeight="1">
      <c r="A136" s="21"/>
      <c r="B136" s="21"/>
      <c r="C136" s="21"/>
      <c r="D136" s="21"/>
      <c r="E136" s="21"/>
      <c r="F136" s="21"/>
      <c r="G136" s="21"/>
      <c r="H136" s="21"/>
      <c r="I136" s="21"/>
      <c r="J136" s="21"/>
      <c r="K136" s="21"/>
      <c r="L136" s="22" t="str">
        <f t="shared" si="1"/>
        <v/>
      </c>
      <c r="M136" s="3"/>
      <c r="N136" s="3"/>
      <c r="O136" s="3"/>
      <c r="P136" s="3"/>
      <c r="Q136" s="3"/>
      <c r="R136" s="3"/>
      <c r="S136" s="3"/>
      <c r="T136" s="3"/>
      <c r="U136" s="3"/>
      <c r="V136" s="3"/>
      <c r="W136" s="3"/>
      <c r="X136" s="3"/>
      <c r="Y136" s="3"/>
      <c r="Z136" s="3"/>
    </row>
    <row r="137" ht="33.75" customHeight="1">
      <c r="A137" s="23"/>
      <c r="B137" s="23"/>
      <c r="C137" s="23"/>
      <c r="D137" s="23"/>
      <c r="E137" s="23"/>
      <c r="F137" s="23"/>
      <c r="G137" s="23"/>
      <c r="H137" s="23"/>
      <c r="I137" s="23"/>
      <c r="J137" s="23"/>
      <c r="K137" s="23"/>
      <c r="L137" s="22" t="str">
        <f t="shared" si="1"/>
        <v/>
      </c>
      <c r="M137" s="3"/>
      <c r="N137" s="3"/>
      <c r="O137" s="3"/>
      <c r="P137" s="3"/>
      <c r="Q137" s="3"/>
      <c r="R137" s="3"/>
      <c r="S137" s="3"/>
      <c r="T137" s="3"/>
      <c r="U137" s="3"/>
      <c r="V137" s="3"/>
      <c r="W137" s="3"/>
      <c r="X137" s="3"/>
      <c r="Y137" s="3"/>
      <c r="Z137" s="3"/>
    </row>
    <row r="138" ht="33.75" customHeight="1">
      <c r="A138" s="21"/>
      <c r="B138" s="21"/>
      <c r="C138" s="21"/>
      <c r="D138" s="21"/>
      <c r="E138" s="21"/>
      <c r="F138" s="21"/>
      <c r="G138" s="21"/>
      <c r="H138" s="21"/>
      <c r="I138" s="21"/>
      <c r="J138" s="21"/>
      <c r="K138" s="21"/>
      <c r="L138" s="22" t="str">
        <f t="shared" si="1"/>
        <v/>
      </c>
      <c r="M138" s="3"/>
      <c r="N138" s="3"/>
      <c r="O138" s="3"/>
      <c r="P138" s="3"/>
      <c r="Q138" s="3"/>
      <c r="R138" s="3"/>
      <c r="S138" s="3"/>
      <c r="T138" s="3"/>
      <c r="U138" s="3"/>
      <c r="V138" s="3"/>
      <c r="W138" s="3"/>
      <c r="X138" s="3"/>
      <c r="Y138" s="3"/>
      <c r="Z138" s="3"/>
    </row>
    <row r="139" ht="33.75" customHeight="1">
      <c r="A139" s="23"/>
      <c r="B139" s="23"/>
      <c r="C139" s="23"/>
      <c r="D139" s="23"/>
      <c r="E139" s="23"/>
      <c r="F139" s="23"/>
      <c r="G139" s="23"/>
      <c r="H139" s="23"/>
      <c r="I139" s="23"/>
      <c r="J139" s="23"/>
      <c r="K139" s="23"/>
      <c r="L139" s="22" t="str">
        <f t="shared" si="1"/>
        <v/>
      </c>
      <c r="M139" s="3"/>
      <c r="N139" s="3"/>
      <c r="O139" s="3"/>
      <c r="P139" s="3"/>
      <c r="Q139" s="3"/>
      <c r="R139" s="3"/>
      <c r="S139" s="3"/>
      <c r="T139" s="3"/>
      <c r="U139" s="3"/>
      <c r="V139" s="3"/>
      <c r="W139" s="3"/>
      <c r="X139" s="3"/>
      <c r="Y139" s="3"/>
      <c r="Z139" s="3"/>
    </row>
    <row r="140" ht="33.75" customHeight="1">
      <c r="A140" s="21"/>
      <c r="B140" s="21"/>
      <c r="C140" s="21"/>
      <c r="D140" s="21"/>
      <c r="E140" s="21"/>
      <c r="F140" s="21"/>
      <c r="G140" s="21"/>
      <c r="H140" s="21"/>
      <c r="I140" s="21"/>
      <c r="J140" s="21"/>
      <c r="K140" s="21"/>
      <c r="L140" s="22" t="str">
        <f t="shared" si="1"/>
        <v/>
      </c>
      <c r="M140" s="3"/>
      <c r="N140" s="3"/>
      <c r="O140" s="3"/>
      <c r="P140" s="3"/>
      <c r="Q140" s="3"/>
      <c r="R140" s="3"/>
      <c r="S140" s="3"/>
      <c r="T140" s="3"/>
      <c r="U140" s="3"/>
      <c r="V140" s="3"/>
      <c r="W140" s="3"/>
      <c r="X140" s="3"/>
      <c r="Y140" s="3"/>
      <c r="Z140" s="3"/>
    </row>
    <row r="141" ht="33.75" customHeight="1">
      <c r="A141" s="23"/>
      <c r="B141" s="23"/>
      <c r="C141" s="23"/>
      <c r="D141" s="23"/>
      <c r="E141" s="23"/>
      <c r="F141" s="23"/>
      <c r="G141" s="23"/>
      <c r="H141" s="23"/>
      <c r="I141" s="23"/>
      <c r="J141" s="23"/>
      <c r="K141" s="23"/>
      <c r="L141" s="22" t="str">
        <f t="shared" si="1"/>
        <v/>
      </c>
      <c r="M141" s="3"/>
      <c r="N141" s="3"/>
      <c r="O141" s="3"/>
      <c r="P141" s="3"/>
      <c r="Q141" s="3"/>
      <c r="R141" s="3"/>
      <c r="S141" s="3"/>
      <c r="T141" s="3"/>
      <c r="U141" s="3"/>
      <c r="V141" s="3"/>
      <c r="W141" s="3"/>
      <c r="X141" s="3"/>
      <c r="Y141" s="3"/>
      <c r="Z141" s="3"/>
    </row>
    <row r="142" ht="33.75" customHeight="1">
      <c r="A142" s="21"/>
      <c r="B142" s="21"/>
      <c r="C142" s="21"/>
      <c r="D142" s="21"/>
      <c r="E142" s="21"/>
      <c r="F142" s="21"/>
      <c r="G142" s="21"/>
      <c r="H142" s="21"/>
      <c r="I142" s="21"/>
      <c r="J142" s="21"/>
      <c r="K142" s="21"/>
      <c r="L142" s="22" t="str">
        <f t="shared" si="1"/>
        <v/>
      </c>
      <c r="M142" s="3"/>
      <c r="N142" s="3"/>
      <c r="O142" s="3"/>
      <c r="P142" s="3"/>
      <c r="Q142" s="3"/>
      <c r="R142" s="3"/>
      <c r="S142" s="3"/>
      <c r="T142" s="3"/>
      <c r="U142" s="3"/>
      <c r="V142" s="3"/>
      <c r="W142" s="3"/>
      <c r="X142" s="3"/>
      <c r="Y142" s="3"/>
      <c r="Z142" s="3"/>
    </row>
    <row r="143" ht="33.75" customHeight="1">
      <c r="A143" s="23"/>
      <c r="B143" s="23"/>
      <c r="C143" s="23"/>
      <c r="D143" s="23"/>
      <c r="E143" s="23"/>
      <c r="F143" s="23"/>
      <c r="G143" s="23"/>
      <c r="H143" s="23"/>
      <c r="I143" s="23"/>
      <c r="J143" s="23"/>
      <c r="K143" s="23"/>
      <c r="L143" s="22" t="str">
        <f t="shared" si="1"/>
        <v/>
      </c>
      <c r="M143" s="3"/>
      <c r="N143" s="3"/>
      <c r="O143" s="3"/>
      <c r="P143" s="3"/>
      <c r="Q143" s="3"/>
      <c r="R143" s="3"/>
      <c r="S143" s="3"/>
      <c r="T143" s="3"/>
      <c r="U143" s="3"/>
      <c r="V143" s="3"/>
      <c r="W143" s="3"/>
      <c r="X143" s="3"/>
      <c r="Y143" s="3"/>
      <c r="Z143" s="3"/>
    </row>
    <row r="144" ht="33.75" customHeight="1">
      <c r="A144" s="21"/>
      <c r="B144" s="21"/>
      <c r="C144" s="21"/>
      <c r="D144" s="21"/>
      <c r="E144" s="21"/>
      <c r="F144" s="21"/>
      <c r="G144" s="21"/>
      <c r="H144" s="21"/>
      <c r="I144" s="21"/>
      <c r="J144" s="21"/>
      <c r="K144" s="21"/>
      <c r="L144" s="22" t="str">
        <f t="shared" si="1"/>
        <v/>
      </c>
      <c r="M144" s="3"/>
      <c r="N144" s="3"/>
      <c r="O144" s="3"/>
      <c r="P144" s="3"/>
      <c r="Q144" s="3"/>
      <c r="R144" s="3"/>
      <c r="S144" s="3"/>
      <c r="T144" s="3"/>
      <c r="U144" s="3"/>
      <c r="V144" s="3"/>
      <c r="W144" s="3"/>
      <c r="X144" s="3"/>
      <c r="Y144" s="3"/>
      <c r="Z144" s="3"/>
    </row>
    <row r="145" ht="33.75" customHeight="1">
      <c r="A145" s="23"/>
      <c r="B145" s="23"/>
      <c r="C145" s="23"/>
      <c r="D145" s="23"/>
      <c r="E145" s="23"/>
      <c r="F145" s="23"/>
      <c r="G145" s="23"/>
      <c r="H145" s="23"/>
      <c r="I145" s="23"/>
      <c r="J145" s="23"/>
      <c r="K145" s="23"/>
      <c r="L145" s="22" t="str">
        <f t="shared" si="1"/>
        <v/>
      </c>
      <c r="M145" s="3"/>
      <c r="N145" s="3"/>
      <c r="O145" s="3"/>
      <c r="P145" s="3"/>
      <c r="Q145" s="3"/>
      <c r="R145" s="3"/>
      <c r="S145" s="3"/>
      <c r="T145" s="3"/>
      <c r="U145" s="3"/>
      <c r="V145" s="3"/>
      <c r="W145" s="3"/>
      <c r="X145" s="3"/>
      <c r="Y145" s="3"/>
      <c r="Z145" s="3"/>
    </row>
    <row r="146" ht="33.75" customHeight="1">
      <c r="A146" s="21"/>
      <c r="B146" s="21"/>
      <c r="C146" s="21"/>
      <c r="D146" s="21"/>
      <c r="E146" s="21"/>
      <c r="F146" s="21"/>
      <c r="G146" s="21"/>
      <c r="H146" s="21"/>
      <c r="I146" s="21"/>
      <c r="J146" s="21"/>
      <c r="K146" s="21"/>
      <c r="L146" s="22" t="str">
        <f t="shared" si="1"/>
        <v/>
      </c>
      <c r="M146" s="3"/>
      <c r="N146" s="3"/>
      <c r="O146" s="3"/>
      <c r="P146" s="3"/>
      <c r="Q146" s="3"/>
      <c r="R146" s="3"/>
      <c r="S146" s="3"/>
      <c r="T146" s="3"/>
      <c r="U146" s="3"/>
      <c r="V146" s="3"/>
      <c r="W146" s="3"/>
      <c r="X146" s="3"/>
      <c r="Y146" s="3"/>
      <c r="Z146" s="3"/>
    </row>
    <row r="147" ht="33.75" customHeight="1">
      <c r="A147" s="23"/>
      <c r="B147" s="23"/>
      <c r="C147" s="23"/>
      <c r="D147" s="23"/>
      <c r="E147" s="23"/>
      <c r="F147" s="23"/>
      <c r="G147" s="23"/>
      <c r="H147" s="23"/>
      <c r="I147" s="23"/>
      <c r="J147" s="23"/>
      <c r="K147" s="23"/>
      <c r="L147" s="22" t="str">
        <f t="shared" si="1"/>
        <v/>
      </c>
      <c r="M147" s="3"/>
      <c r="N147" s="3"/>
      <c r="O147" s="3"/>
      <c r="P147" s="3"/>
      <c r="Q147" s="3"/>
      <c r="R147" s="3"/>
      <c r="S147" s="3"/>
      <c r="T147" s="3"/>
      <c r="U147" s="3"/>
      <c r="V147" s="3"/>
      <c r="W147" s="3"/>
      <c r="X147" s="3"/>
      <c r="Y147" s="3"/>
      <c r="Z147" s="3"/>
    </row>
    <row r="148" ht="33.75" customHeight="1">
      <c r="A148" s="21"/>
      <c r="B148" s="21"/>
      <c r="C148" s="21"/>
      <c r="D148" s="21"/>
      <c r="E148" s="21"/>
      <c r="F148" s="21"/>
      <c r="G148" s="21"/>
      <c r="H148" s="21"/>
      <c r="I148" s="21"/>
      <c r="J148" s="21"/>
      <c r="K148" s="21"/>
      <c r="L148" s="22" t="str">
        <f t="shared" si="1"/>
        <v/>
      </c>
      <c r="M148" s="3"/>
      <c r="N148" s="3"/>
      <c r="O148" s="3"/>
      <c r="P148" s="3"/>
      <c r="Q148" s="3"/>
      <c r="R148" s="3"/>
      <c r="S148" s="3"/>
      <c r="T148" s="3"/>
      <c r="U148" s="3"/>
      <c r="V148" s="3"/>
      <c r="W148" s="3"/>
      <c r="X148" s="3"/>
      <c r="Y148" s="3"/>
      <c r="Z148" s="3"/>
    </row>
    <row r="149" ht="33.75" customHeight="1">
      <c r="A149" s="23"/>
      <c r="B149" s="23"/>
      <c r="C149" s="23"/>
      <c r="D149" s="23"/>
      <c r="E149" s="23"/>
      <c r="F149" s="23"/>
      <c r="G149" s="23"/>
      <c r="H149" s="23"/>
      <c r="I149" s="23"/>
      <c r="J149" s="23"/>
      <c r="K149" s="23"/>
      <c r="L149" s="22" t="str">
        <f t="shared" si="1"/>
        <v/>
      </c>
      <c r="M149" s="3"/>
      <c r="N149" s="3"/>
      <c r="O149" s="3"/>
      <c r="P149" s="3"/>
      <c r="Q149" s="3"/>
      <c r="R149" s="3"/>
      <c r="S149" s="3"/>
      <c r="T149" s="3"/>
      <c r="U149" s="3"/>
      <c r="V149" s="3"/>
      <c r="W149" s="3"/>
      <c r="X149" s="3"/>
      <c r="Y149" s="3"/>
      <c r="Z149" s="3"/>
    </row>
    <row r="150" ht="33.75" customHeight="1">
      <c r="A150" s="21"/>
      <c r="B150" s="21"/>
      <c r="C150" s="21"/>
      <c r="D150" s="21"/>
      <c r="E150" s="21"/>
      <c r="F150" s="21"/>
      <c r="G150" s="21"/>
      <c r="H150" s="21"/>
      <c r="I150" s="21"/>
      <c r="J150" s="21"/>
      <c r="K150" s="21"/>
      <c r="L150" s="22" t="str">
        <f t="shared" si="1"/>
        <v/>
      </c>
      <c r="M150" s="3"/>
      <c r="N150" s="3"/>
      <c r="O150" s="3"/>
      <c r="P150" s="3"/>
      <c r="Q150" s="3"/>
      <c r="R150" s="3"/>
      <c r="S150" s="3"/>
      <c r="T150" s="3"/>
      <c r="U150" s="3"/>
      <c r="V150" s="3"/>
      <c r="W150" s="3"/>
      <c r="X150" s="3"/>
      <c r="Y150" s="3"/>
      <c r="Z150" s="3"/>
    </row>
    <row r="151" ht="33.75" customHeight="1">
      <c r="A151" s="23"/>
      <c r="B151" s="23"/>
      <c r="C151" s="23"/>
      <c r="D151" s="23"/>
      <c r="E151" s="23"/>
      <c r="F151" s="23"/>
      <c r="G151" s="23"/>
      <c r="H151" s="23"/>
      <c r="I151" s="23"/>
      <c r="J151" s="23"/>
      <c r="K151" s="23"/>
      <c r="L151" s="22" t="str">
        <f t="shared" si="1"/>
        <v/>
      </c>
      <c r="M151" s="3"/>
      <c r="N151" s="3"/>
      <c r="O151" s="3"/>
      <c r="P151" s="3"/>
      <c r="Q151" s="3"/>
      <c r="R151" s="3"/>
      <c r="S151" s="3"/>
      <c r="T151" s="3"/>
      <c r="U151" s="3"/>
      <c r="V151" s="3"/>
      <c r="W151" s="3"/>
      <c r="X151" s="3"/>
      <c r="Y151" s="3"/>
      <c r="Z151" s="3"/>
    </row>
    <row r="152" ht="33.75" customHeight="1">
      <c r="A152" s="21"/>
      <c r="B152" s="21"/>
      <c r="C152" s="21"/>
      <c r="D152" s="21"/>
      <c r="E152" s="21"/>
      <c r="F152" s="21"/>
      <c r="G152" s="21"/>
      <c r="H152" s="21"/>
      <c r="I152" s="21"/>
      <c r="J152" s="21"/>
      <c r="K152" s="21"/>
      <c r="L152" s="22" t="str">
        <f t="shared" si="1"/>
        <v/>
      </c>
      <c r="M152" s="3"/>
      <c r="N152" s="3"/>
      <c r="O152" s="3"/>
      <c r="P152" s="3"/>
      <c r="Q152" s="3"/>
      <c r="R152" s="3"/>
      <c r="S152" s="3"/>
      <c r="T152" s="3"/>
      <c r="U152" s="3"/>
      <c r="V152" s="3"/>
      <c r="W152" s="3"/>
      <c r="X152" s="3"/>
      <c r="Y152" s="3"/>
      <c r="Z152" s="3"/>
    </row>
    <row r="153" ht="33.75" customHeight="1">
      <c r="A153" s="23"/>
      <c r="B153" s="23"/>
      <c r="C153" s="23"/>
      <c r="D153" s="23"/>
      <c r="E153" s="23"/>
      <c r="F153" s="23"/>
      <c r="G153" s="23"/>
      <c r="H153" s="23"/>
      <c r="I153" s="23"/>
      <c r="J153" s="23"/>
      <c r="K153" s="23"/>
      <c r="L153" s="22" t="str">
        <f t="shared" si="1"/>
        <v/>
      </c>
      <c r="M153" s="3"/>
      <c r="N153" s="3"/>
      <c r="O153" s="3"/>
      <c r="P153" s="3"/>
      <c r="Q153" s="3"/>
      <c r="R153" s="3"/>
      <c r="S153" s="3"/>
      <c r="T153" s="3"/>
      <c r="U153" s="3"/>
      <c r="V153" s="3"/>
      <c r="W153" s="3"/>
      <c r="X153" s="3"/>
      <c r="Y153" s="3"/>
      <c r="Z153" s="3"/>
    </row>
    <row r="154" ht="33.75" customHeight="1">
      <c r="A154" s="21"/>
      <c r="B154" s="21"/>
      <c r="C154" s="21"/>
      <c r="D154" s="21"/>
      <c r="E154" s="21"/>
      <c r="F154" s="21"/>
      <c r="G154" s="21"/>
      <c r="H154" s="21"/>
      <c r="I154" s="21"/>
      <c r="J154" s="21"/>
      <c r="K154" s="21"/>
      <c r="L154" s="22" t="str">
        <f t="shared" si="1"/>
        <v/>
      </c>
      <c r="M154" s="3"/>
      <c r="N154" s="3"/>
      <c r="O154" s="3"/>
      <c r="P154" s="3"/>
      <c r="Q154" s="3"/>
      <c r="R154" s="3"/>
      <c r="S154" s="3"/>
      <c r="T154" s="3"/>
      <c r="U154" s="3"/>
      <c r="V154" s="3"/>
      <c r="W154" s="3"/>
      <c r="X154" s="3"/>
      <c r="Y154" s="3"/>
      <c r="Z154" s="3"/>
    </row>
    <row r="155" ht="33.75" customHeight="1">
      <c r="A155" s="23"/>
      <c r="B155" s="23"/>
      <c r="C155" s="23"/>
      <c r="D155" s="23"/>
      <c r="E155" s="23"/>
      <c r="F155" s="23"/>
      <c r="G155" s="23"/>
      <c r="H155" s="23"/>
      <c r="I155" s="23"/>
      <c r="J155" s="23"/>
      <c r="K155" s="23"/>
      <c r="L155" s="22" t="str">
        <f t="shared" si="1"/>
        <v/>
      </c>
      <c r="M155" s="3"/>
      <c r="N155" s="3"/>
      <c r="O155" s="3"/>
      <c r="P155" s="3"/>
      <c r="Q155" s="3"/>
      <c r="R155" s="3"/>
      <c r="S155" s="3"/>
      <c r="T155" s="3"/>
      <c r="U155" s="3"/>
      <c r="V155" s="3"/>
      <c r="W155" s="3"/>
      <c r="X155" s="3"/>
      <c r="Y155" s="3"/>
      <c r="Z155" s="3"/>
    </row>
    <row r="156" ht="33.75" customHeight="1">
      <c r="A156" s="21"/>
      <c r="B156" s="21"/>
      <c r="C156" s="21"/>
      <c r="D156" s="21"/>
      <c r="E156" s="21"/>
      <c r="F156" s="21"/>
      <c r="G156" s="21"/>
      <c r="H156" s="21"/>
      <c r="I156" s="21"/>
      <c r="J156" s="21"/>
      <c r="K156" s="21"/>
      <c r="L156" s="22" t="str">
        <f t="shared" si="1"/>
        <v/>
      </c>
      <c r="M156" s="3"/>
      <c r="N156" s="3"/>
      <c r="O156" s="3"/>
      <c r="P156" s="3"/>
      <c r="Q156" s="3"/>
      <c r="R156" s="3"/>
      <c r="S156" s="3"/>
      <c r="T156" s="3"/>
      <c r="U156" s="3"/>
      <c r="V156" s="3"/>
      <c r="W156" s="3"/>
      <c r="X156" s="3"/>
      <c r="Y156" s="3"/>
      <c r="Z156" s="3"/>
    </row>
    <row r="157" ht="33.75" customHeight="1">
      <c r="A157" s="23"/>
      <c r="B157" s="23"/>
      <c r="C157" s="23"/>
      <c r="D157" s="23"/>
      <c r="E157" s="23"/>
      <c r="F157" s="23"/>
      <c r="G157" s="23"/>
      <c r="H157" s="23"/>
      <c r="I157" s="23"/>
      <c r="J157" s="23"/>
      <c r="K157" s="23"/>
      <c r="L157" s="22" t="str">
        <f t="shared" si="1"/>
        <v/>
      </c>
      <c r="M157" s="3"/>
      <c r="N157" s="3"/>
      <c r="O157" s="3"/>
      <c r="P157" s="3"/>
      <c r="Q157" s="3"/>
      <c r="R157" s="3"/>
      <c r="S157" s="3"/>
      <c r="T157" s="3"/>
      <c r="U157" s="3"/>
      <c r="V157" s="3"/>
      <c r="W157" s="3"/>
      <c r="X157" s="3"/>
      <c r="Y157" s="3"/>
      <c r="Z157" s="3"/>
    </row>
    <row r="158" ht="33.75" customHeight="1">
      <c r="A158" s="21"/>
      <c r="B158" s="21"/>
      <c r="C158" s="21"/>
      <c r="D158" s="21"/>
      <c r="E158" s="21"/>
      <c r="F158" s="21"/>
      <c r="G158" s="21"/>
      <c r="H158" s="21"/>
      <c r="I158" s="21"/>
      <c r="J158" s="21"/>
      <c r="K158" s="21"/>
      <c r="L158" s="22" t="str">
        <f t="shared" si="1"/>
        <v/>
      </c>
      <c r="M158" s="3"/>
      <c r="N158" s="3"/>
      <c r="O158" s="3"/>
      <c r="P158" s="3"/>
      <c r="Q158" s="3"/>
      <c r="R158" s="3"/>
      <c r="S158" s="3"/>
      <c r="T158" s="3"/>
      <c r="U158" s="3"/>
      <c r="V158" s="3"/>
      <c r="W158" s="3"/>
      <c r="X158" s="3"/>
      <c r="Y158" s="3"/>
      <c r="Z158" s="3"/>
    </row>
    <row r="159" ht="33.75" customHeight="1">
      <c r="A159" s="23"/>
      <c r="B159" s="23"/>
      <c r="C159" s="23"/>
      <c r="D159" s="23"/>
      <c r="E159" s="23"/>
      <c r="F159" s="23"/>
      <c r="G159" s="23"/>
      <c r="H159" s="23"/>
      <c r="I159" s="23"/>
      <c r="J159" s="23"/>
      <c r="K159" s="23"/>
      <c r="L159" s="22" t="str">
        <f t="shared" si="1"/>
        <v/>
      </c>
      <c r="M159" s="3"/>
      <c r="N159" s="3"/>
      <c r="O159" s="3"/>
      <c r="P159" s="3"/>
      <c r="Q159" s="3"/>
      <c r="R159" s="3"/>
      <c r="S159" s="3"/>
      <c r="T159" s="3"/>
      <c r="U159" s="3"/>
      <c r="V159" s="3"/>
      <c r="W159" s="3"/>
      <c r="X159" s="3"/>
      <c r="Y159" s="3"/>
      <c r="Z159" s="3"/>
    </row>
    <row r="160" ht="33.75" customHeight="1">
      <c r="A160" s="21"/>
      <c r="B160" s="21"/>
      <c r="C160" s="21"/>
      <c r="D160" s="21"/>
      <c r="E160" s="21"/>
      <c r="F160" s="21"/>
      <c r="G160" s="21"/>
      <c r="H160" s="21"/>
      <c r="I160" s="21"/>
      <c r="J160" s="21"/>
      <c r="K160" s="21"/>
      <c r="L160" s="22" t="str">
        <f t="shared" si="1"/>
        <v/>
      </c>
      <c r="M160" s="3"/>
      <c r="N160" s="3"/>
      <c r="O160" s="3"/>
      <c r="P160" s="3"/>
      <c r="Q160" s="3"/>
      <c r="R160" s="3"/>
      <c r="S160" s="3"/>
      <c r="T160" s="3"/>
      <c r="U160" s="3"/>
      <c r="V160" s="3"/>
      <c r="W160" s="3"/>
      <c r="X160" s="3"/>
      <c r="Y160" s="3"/>
      <c r="Z160" s="3"/>
    </row>
    <row r="161" ht="33.75" customHeight="1">
      <c r="A161" s="23"/>
      <c r="B161" s="23"/>
      <c r="C161" s="23"/>
      <c r="D161" s="23"/>
      <c r="E161" s="23"/>
      <c r="F161" s="23"/>
      <c r="G161" s="23"/>
      <c r="H161" s="23"/>
      <c r="I161" s="23"/>
      <c r="J161" s="23"/>
      <c r="K161" s="23"/>
      <c r="L161" s="22" t="str">
        <f t="shared" si="1"/>
        <v/>
      </c>
      <c r="M161" s="3"/>
      <c r="N161" s="3"/>
      <c r="O161" s="3"/>
      <c r="P161" s="3"/>
      <c r="Q161" s="3"/>
      <c r="R161" s="3"/>
      <c r="S161" s="3"/>
      <c r="T161" s="3"/>
      <c r="U161" s="3"/>
      <c r="V161" s="3"/>
      <c r="W161" s="3"/>
      <c r="X161" s="3"/>
      <c r="Y161" s="3"/>
      <c r="Z161" s="3"/>
    </row>
    <row r="162" ht="33.75" customHeight="1">
      <c r="A162" s="21"/>
      <c r="B162" s="21"/>
      <c r="C162" s="21"/>
      <c r="D162" s="21"/>
      <c r="E162" s="21"/>
      <c r="F162" s="21"/>
      <c r="G162" s="21"/>
      <c r="H162" s="21"/>
      <c r="I162" s="21"/>
      <c r="J162" s="21"/>
      <c r="K162" s="21"/>
      <c r="L162" s="22" t="str">
        <f t="shared" si="1"/>
        <v/>
      </c>
      <c r="M162" s="3"/>
      <c r="N162" s="3"/>
      <c r="O162" s="3"/>
      <c r="P162" s="3"/>
      <c r="Q162" s="3"/>
      <c r="R162" s="3"/>
      <c r="S162" s="3"/>
      <c r="T162" s="3"/>
      <c r="U162" s="3"/>
      <c r="V162" s="3"/>
      <c r="W162" s="3"/>
      <c r="X162" s="3"/>
      <c r="Y162" s="3"/>
      <c r="Z162" s="3"/>
    </row>
    <row r="163" ht="33.75" customHeight="1">
      <c r="A163" s="23"/>
      <c r="B163" s="23"/>
      <c r="C163" s="23"/>
      <c r="D163" s="23"/>
      <c r="E163" s="23"/>
      <c r="F163" s="23"/>
      <c r="G163" s="23"/>
      <c r="H163" s="23"/>
      <c r="I163" s="23"/>
      <c r="J163" s="23"/>
      <c r="K163" s="23"/>
      <c r="L163" s="22" t="str">
        <f t="shared" si="1"/>
        <v/>
      </c>
      <c r="M163" s="3"/>
      <c r="N163" s="3"/>
      <c r="O163" s="3"/>
      <c r="P163" s="3"/>
      <c r="Q163" s="3"/>
      <c r="R163" s="3"/>
      <c r="S163" s="3"/>
      <c r="T163" s="3"/>
      <c r="U163" s="3"/>
      <c r="V163" s="3"/>
      <c r="W163" s="3"/>
      <c r="X163" s="3"/>
      <c r="Y163" s="3"/>
      <c r="Z163" s="3"/>
    </row>
    <row r="164" ht="33.75" customHeight="1">
      <c r="A164" s="21"/>
      <c r="B164" s="21"/>
      <c r="C164" s="21"/>
      <c r="D164" s="21"/>
      <c r="E164" s="21"/>
      <c r="F164" s="21"/>
      <c r="G164" s="21"/>
      <c r="H164" s="21"/>
      <c r="I164" s="21"/>
      <c r="J164" s="21"/>
      <c r="K164" s="21"/>
      <c r="L164" s="22" t="str">
        <f t="shared" si="1"/>
        <v/>
      </c>
      <c r="M164" s="3"/>
      <c r="N164" s="3"/>
      <c r="O164" s="3"/>
      <c r="P164" s="3"/>
      <c r="Q164" s="3"/>
      <c r="R164" s="3"/>
      <c r="S164" s="3"/>
      <c r="T164" s="3"/>
      <c r="U164" s="3"/>
      <c r="V164" s="3"/>
      <c r="W164" s="3"/>
      <c r="X164" s="3"/>
      <c r="Y164" s="3"/>
      <c r="Z164" s="3"/>
    </row>
    <row r="165" ht="33.75" customHeight="1">
      <c r="A165" s="23"/>
      <c r="B165" s="23"/>
      <c r="C165" s="23"/>
      <c r="D165" s="23"/>
      <c r="E165" s="23"/>
      <c r="F165" s="23"/>
      <c r="G165" s="23"/>
      <c r="H165" s="23"/>
      <c r="I165" s="23"/>
      <c r="J165" s="23"/>
      <c r="K165" s="23"/>
      <c r="L165" s="22" t="str">
        <f t="shared" si="1"/>
        <v/>
      </c>
      <c r="M165" s="3"/>
      <c r="N165" s="3"/>
      <c r="O165" s="3"/>
      <c r="P165" s="3"/>
      <c r="Q165" s="3"/>
      <c r="R165" s="3"/>
      <c r="S165" s="3"/>
      <c r="T165" s="3"/>
      <c r="U165" s="3"/>
      <c r="V165" s="3"/>
      <c r="W165" s="3"/>
      <c r="X165" s="3"/>
      <c r="Y165" s="3"/>
      <c r="Z165" s="3"/>
    </row>
    <row r="166" ht="33.75" customHeight="1">
      <c r="A166" s="21"/>
      <c r="B166" s="21"/>
      <c r="C166" s="21"/>
      <c r="D166" s="21"/>
      <c r="E166" s="21"/>
      <c r="F166" s="21"/>
      <c r="G166" s="21"/>
      <c r="H166" s="21"/>
      <c r="I166" s="21"/>
      <c r="J166" s="21"/>
      <c r="K166" s="21"/>
      <c r="L166" s="22" t="str">
        <f t="shared" si="1"/>
        <v/>
      </c>
      <c r="M166" s="3"/>
      <c r="N166" s="3"/>
      <c r="O166" s="3"/>
      <c r="P166" s="3"/>
      <c r="Q166" s="3"/>
      <c r="R166" s="3"/>
      <c r="S166" s="3"/>
      <c r="T166" s="3"/>
      <c r="U166" s="3"/>
      <c r="V166" s="3"/>
      <c r="W166" s="3"/>
      <c r="X166" s="3"/>
      <c r="Y166" s="3"/>
      <c r="Z166" s="3"/>
    </row>
    <row r="167" ht="33.75" customHeight="1">
      <c r="A167" s="23"/>
      <c r="B167" s="23"/>
      <c r="C167" s="23"/>
      <c r="D167" s="23"/>
      <c r="E167" s="23"/>
      <c r="F167" s="23"/>
      <c r="G167" s="23"/>
      <c r="H167" s="23"/>
      <c r="I167" s="23"/>
      <c r="J167" s="23"/>
      <c r="K167" s="23"/>
      <c r="L167" s="22" t="str">
        <f t="shared" si="1"/>
        <v/>
      </c>
      <c r="M167" s="3"/>
      <c r="N167" s="3"/>
      <c r="O167" s="3"/>
      <c r="P167" s="3"/>
      <c r="Q167" s="3"/>
      <c r="R167" s="3"/>
      <c r="S167" s="3"/>
      <c r="T167" s="3"/>
      <c r="U167" s="3"/>
      <c r="V167" s="3"/>
      <c r="W167" s="3"/>
      <c r="X167" s="3"/>
      <c r="Y167" s="3"/>
      <c r="Z167" s="3"/>
    </row>
    <row r="168" ht="33.75" customHeight="1">
      <c r="A168" s="21"/>
      <c r="B168" s="21"/>
      <c r="C168" s="21"/>
      <c r="D168" s="21"/>
      <c r="E168" s="21"/>
      <c r="F168" s="21"/>
      <c r="G168" s="21"/>
      <c r="H168" s="21"/>
      <c r="I168" s="21"/>
      <c r="J168" s="21"/>
      <c r="K168" s="21"/>
      <c r="L168" s="22" t="str">
        <f t="shared" si="1"/>
        <v/>
      </c>
      <c r="M168" s="3"/>
      <c r="N168" s="3"/>
      <c r="O168" s="3"/>
      <c r="P168" s="3"/>
      <c r="Q168" s="3"/>
      <c r="R168" s="3"/>
      <c r="S168" s="3"/>
      <c r="T168" s="3"/>
      <c r="U168" s="3"/>
      <c r="V168" s="3"/>
      <c r="W168" s="3"/>
      <c r="X168" s="3"/>
      <c r="Y168" s="3"/>
      <c r="Z168" s="3"/>
    </row>
    <row r="169" ht="33.75" customHeight="1">
      <c r="A169" s="23"/>
      <c r="B169" s="23"/>
      <c r="C169" s="23"/>
      <c r="D169" s="23"/>
      <c r="E169" s="23"/>
      <c r="F169" s="23"/>
      <c r="G169" s="23"/>
      <c r="H169" s="23"/>
      <c r="I169" s="23"/>
      <c r="J169" s="23"/>
      <c r="K169" s="23"/>
      <c r="L169" s="22" t="str">
        <f t="shared" si="1"/>
        <v/>
      </c>
      <c r="M169" s="3"/>
      <c r="N169" s="3"/>
      <c r="O169" s="3"/>
      <c r="P169" s="3"/>
      <c r="Q169" s="3"/>
      <c r="R169" s="3"/>
      <c r="S169" s="3"/>
      <c r="T169" s="3"/>
      <c r="U169" s="3"/>
      <c r="V169" s="3"/>
      <c r="W169" s="3"/>
      <c r="X169" s="3"/>
      <c r="Y169" s="3"/>
      <c r="Z169" s="3"/>
    </row>
    <row r="170" ht="33.75" customHeight="1">
      <c r="A170" s="21"/>
      <c r="B170" s="21"/>
      <c r="C170" s="21"/>
      <c r="D170" s="21"/>
      <c r="E170" s="21"/>
      <c r="F170" s="21"/>
      <c r="G170" s="21"/>
      <c r="H170" s="21"/>
      <c r="I170" s="21"/>
      <c r="J170" s="21"/>
      <c r="K170" s="21"/>
      <c r="L170" s="22" t="str">
        <f t="shared" si="1"/>
        <v/>
      </c>
      <c r="M170" s="3"/>
      <c r="N170" s="3"/>
      <c r="O170" s="3"/>
      <c r="P170" s="3"/>
      <c r="Q170" s="3"/>
      <c r="R170" s="3"/>
      <c r="S170" s="3"/>
      <c r="T170" s="3"/>
      <c r="U170" s="3"/>
      <c r="V170" s="3"/>
      <c r="W170" s="3"/>
      <c r="X170" s="3"/>
      <c r="Y170" s="3"/>
      <c r="Z170" s="3"/>
    </row>
    <row r="171" ht="33.75" customHeight="1">
      <c r="A171" s="23"/>
      <c r="B171" s="23"/>
      <c r="C171" s="23"/>
      <c r="D171" s="23"/>
      <c r="E171" s="23"/>
      <c r="F171" s="23"/>
      <c r="G171" s="23"/>
      <c r="H171" s="23"/>
      <c r="I171" s="23"/>
      <c r="J171" s="23"/>
      <c r="K171" s="23"/>
      <c r="L171" s="22" t="str">
        <f t="shared" si="1"/>
        <v/>
      </c>
      <c r="M171" s="3"/>
      <c r="N171" s="3"/>
      <c r="O171" s="3"/>
      <c r="P171" s="3"/>
      <c r="Q171" s="3"/>
      <c r="R171" s="3"/>
      <c r="S171" s="3"/>
      <c r="T171" s="3"/>
      <c r="U171" s="3"/>
      <c r="V171" s="3"/>
      <c r="W171" s="3"/>
      <c r="X171" s="3"/>
      <c r="Y171" s="3"/>
      <c r="Z171" s="3"/>
    </row>
    <row r="172" ht="33.75" customHeight="1">
      <c r="A172" s="21"/>
      <c r="B172" s="21"/>
      <c r="C172" s="21"/>
      <c r="D172" s="21"/>
      <c r="E172" s="21"/>
      <c r="F172" s="21"/>
      <c r="G172" s="21"/>
      <c r="H172" s="21"/>
      <c r="I172" s="21"/>
      <c r="J172" s="21"/>
      <c r="K172" s="21"/>
      <c r="L172" s="22" t="str">
        <f t="shared" si="1"/>
        <v/>
      </c>
      <c r="M172" s="3"/>
      <c r="N172" s="3"/>
      <c r="O172" s="3"/>
      <c r="P172" s="3"/>
      <c r="Q172" s="3"/>
      <c r="R172" s="3"/>
      <c r="S172" s="3"/>
      <c r="T172" s="3"/>
      <c r="U172" s="3"/>
      <c r="V172" s="3"/>
      <c r="W172" s="3"/>
      <c r="X172" s="3"/>
      <c r="Y172" s="3"/>
      <c r="Z172" s="3"/>
    </row>
    <row r="173" ht="33.75" customHeight="1">
      <c r="A173" s="23"/>
      <c r="B173" s="23"/>
      <c r="C173" s="23"/>
      <c r="D173" s="23"/>
      <c r="E173" s="23"/>
      <c r="F173" s="23"/>
      <c r="G173" s="23"/>
      <c r="H173" s="23"/>
      <c r="I173" s="23"/>
      <c r="J173" s="23"/>
      <c r="K173" s="23"/>
      <c r="L173" s="22" t="str">
        <f t="shared" si="1"/>
        <v/>
      </c>
      <c r="M173" s="3"/>
      <c r="N173" s="3"/>
      <c r="O173" s="3"/>
      <c r="P173" s="3"/>
      <c r="Q173" s="3"/>
      <c r="R173" s="3"/>
      <c r="S173" s="3"/>
      <c r="T173" s="3"/>
      <c r="U173" s="3"/>
      <c r="V173" s="3"/>
      <c r="W173" s="3"/>
      <c r="X173" s="3"/>
      <c r="Y173" s="3"/>
      <c r="Z173" s="3"/>
    </row>
    <row r="174" ht="33.75" customHeight="1">
      <c r="A174" s="21"/>
      <c r="B174" s="21"/>
      <c r="C174" s="21"/>
      <c r="D174" s="21"/>
      <c r="E174" s="21"/>
      <c r="F174" s="21"/>
      <c r="G174" s="21"/>
      <c r="H174" s="21"/>
      <c r="I174" s="21"/>
      <c r="J174" s="21"/>
      <c r="K174" s="21"/>
      <c r="L174" s="22" t="str">
        <f t="shared" si="1"/>
        <v/>
      </c>
      <c r="M174" s="3"/>
      <c r="N174" s="3"/>
      <c r="O174" s="3"/>
      <c r="P174" s="3"/>
      <c r="Q174" s="3"/>
      <c r="R174" s="3"/>
      <c r="S174" s="3"/>
      <c r="T174" s="3"/>
      <c r="U174" s="3"/>
      <c r="V174" s="3"/>
      <c r="W174" s="3"/>
      <c r="X174" s="3"/>
      <c r="Y174" s="3"/>
      <c r="Z174" s="3"/>
    </row>
    <row r="175" ht="33.75" customHeight="1">
      <c r="A175" s="23"/>
      <c r="B175" s="23"/>
      <c r="C175" s="23"/>
      <c r="D175" s="23"/>
      <c r="E175" s="23"/>
      <c r="F175" s="23"/>
      <c r="G175" s="23"/>
      <c r="H175" s="23"/>
      <c r="I175" s="23"/>
      <c r="J175" s="23"/>
      <c r="K175" s="23"/>
      <c r="L175" s="22" t="str">
        <f t="shared" si="1"/>
        <v/>
      </c>
      <c r="M175" s="3"/>
      <c r="N175" s="3"/>
      <c r="O175" s="3"/>
      <c r="P175" s="3"/>
      <c r="Q175" s="3"/>
      <c r="R175" s="3"/>
      <c r="S175" s="3"/>
      <c r="T175" s="3"/>
      <c r="U175" s="3"/>
      <c r="V175" s="3"/>
      <c r="W175" s="3"/>
      <c r="X175" s="3"/>
      <c r="Y175" s="3"/>
      <c r="Z175" s="3"/>
    </row>
    <row r="176" ht="33.75" customHeight="1">
      <c r="A176" s="21"/>
      <c r="B176" s="21"/>
      <c r="C176" s="21"/>
      <c r="D176" s="21"/>
      <c r="E176" s="21"/>
      <c r="F176" s="21"/>
      <c r="G176" s="21"/>
      <c r="H176" s="21"/>
      <c r="I176" s="21"/>
      <c r="J176" s="21"/>
      <c r="K176" s="21"/>
      <c r="L176" s="22" t="str">
        <f t="shared" si="1"/>
        <v/>
      </c>
      <c r="M176" s="3"/>
      <c r="N176" s="3"/>
      <c r="O176" s="3"/>
      <c r="P176" s="3"/>
      <c r="Q176" s="3"/>
      <c r="R176" s="3"/>
      <c r="S176" s="3"/>
      <c r="T176" s="3"/>
      <c r="U176" s="3"/>
      <c r="V176" s="3"/>
      <c r="W176" s="3"/>
      <c r="X176" s="3"/>
      <c r="Y176" s="3"/>
      <c r="Z176" s="3"/>
    </row>
    <row r="177" ht="33.75" customHeight="1">
      <c r="A177" s="23"/>
      <c r="B177" s="23"/>
      <c r="C177" s="23"/>
      <c r="D177" s="23"/>
      <c r="E177" s="23"/>
      <c r="F177" s="23"/>
      <c r="G177" s="23"/>
      <c r="H177" s="23"/>
      <c r="I177" s="23"/>
      <c r="J177" s="23"/>
      <c r="K177" s="23"/>
      <c r="L177" s="22" t="str">
        <f t="shared" si="1"/>
        <v/>
      </c>
      <c r="M177" s="3"/>
      <c r="N177" s="3"/>
      <c r="O177" s="3"/>
      <c r="P177" s="3"/>
      <c r="Q177" s="3"/>
      <c r="R177" s="3"/>
      <c r="S177" s="3"/>
      <c r="T177" s="3"/>
      <c r="U177" s="3"/>
      <c r="V177" s="3"/>
      <c r="W177" s="3"/>
      <c r="X177" s="3"/>
      <c r="Y177" s="3"/>
      <c r="Z177" s="3"/>
    </row>
    <row r="178" ht="33.75" customHeight="1">
      <c r="A178" s="21"/>
      <c r="B178" s="21"/>
      <c r="C178" s="21"/>
      <c r="D178" s="21"/>
      <c r="E178" s="21"/>
      <c r="F178" s="21"/>
      <c r="G178" s="21"/>
      <c r="H178" s="21"/>
      <c r="I178" s="21"/>
      <c r="J178" s="21"/>
      <c r="K178" s="21"/>
      <c r="L178" s="22" t="str">
        <f t="shared" si="1"/>
        <v/>
      </c>
      <c r="M178" s="3"/>
      <c r="N178" s="3"/>
      <c r="O178" s="3"/>
      <c r="P178" s="3"/>
      <c r="Q178" s="3"/>
      <c r="R178" s="3"/>
      <c r="S178" s="3"/>
      <c r="T178" s="3"/>
      <c r="U178" s="3"/>
      <c r="V178" s="3"/>
      <c r="W178" s="3"/>
      <c r="X178" s="3"/>
      <c r="Y178" s="3"/>
      <c r="Z178" s="3"/>
    </row>
    <row r="179" ht="33.75" customHeight="1">
      <c r="A179" s="23"/>
      <c r="B179" s="23"/>
      <c r="C179" s="23"/>
      <c r="D179" s="23"/>
      <c r="E179" s="23"/>
      <c r="F179" s="23"/>
      <c r="G179" s="23"/>
      <c r="H179" s="23"/>
      <c r="I179" s="23"/>
      <c r="J179" s="23"/>
      <c r="K179" s="23"/>
      <c r="L179" s="22" t="str">
        <f t="shared" si="1"/>
        <v/>
      </c>
      <c r="M179" s="3"/>
      <c r="N179" s="3"/>
      <c r="O179" s="3"/>
      <c r="P179" s="3"/>
      <c r="Q179" s="3"/>
      <c r="R179" s="3"/>
      <c r="S179" s="3"/>
      <c r="T179" s="3"/>
      <c r="U179" s="3"/>
      <c r="V179" s="3"/>
      <c r="W179" s="3"/>
      <c r="X179" s="3"/>
      <c r="Y179" s="3"/>
      <c r="Z179" s="3"/>
    </row>
    <row r="180" ht="33.75" customHeight="1">
      <c r="A180" s="21"/>
      <c r="B180" s="21"/>
      <c r="C180" s="21"/>
      <c r="D180" s="21"/>
      <c r="E180" s="21"/>
      <c r="F180" s="21"/>
      <c r="G180" s="21"/>
      <c r="H180" s="21"/>
      <c r="I180" s="21"/>
      <c r="J180" s="21"/>
      <c r="K180" s="21"/>
      <c r="L180" s="22" t="str">
        <f t="shared" si="1"/>
        <v/>
      </c>
      <c r="M180" s="3"/>
      <c r="N180" s="3"/>
      <c r="O180" s="3"/>
      <c r="P180" s="3"/>
      <c r="Q180" s="3"/>
      <c r="R180" s="3"/>
      <c r="S180" s="3"/>
      <c r="T180" s="3"/>
      <c r="U180" s="3"/>
      <c r="V180" s="3"/>
      <c r="W180" s="3"/>
      <c r="X180" s="3"/>
      <c r="Y180" s="3"/>
      <c r="Z180" s="3"/>
    </row>
    <row r="181" ht="33.75" customHeight="1">
      <c r="A181" s="23"/>
      <c r="B181" s="23"/>
      <c r="C181" s="23"/>
      <c r="D181" s="23"/>
      <c r="E181" s="23"/>
      <c r="F181" s="23"/>
      <c r="G181" s="23"/>
      <c r="H181" s="23"/>
      <c r="I181" s="23"/>
      <c r="J181" s="23"/>
      <c r="K181" s="23"/>
      <c r="L181" s="22" t="str">
        <f t="shared" si="1"/>
        <v/>
      </c>
      <c r="M181" s="3"/>
      <c r="N181" s="3"/>
      <c r="O181" s="3"/>
      <c r="P181" s="3"/>
      <c r="Q181" s="3"/>
      <c r="R181" s="3"/>
      <c r="S181" s="3"/>
      <c r="T181" s="3"/>
      <c r="U181" s="3"/>
      <c r="V181" s="3"/>
      <c r="W181" s="3"/>
      <c r="X181" s="3"/>
      <c r="Y181" s="3"/>
      <c r="Z181" s="3"/>
    </row>
    <row r="182" ht="33.75" customHeight="1">
      <c r="A182" s="21"/>
      <c r="B182" s="21"/>
      <c r="C182" s="21"/>
      <c r="D182" s="21"/>
      <c r="E182" s="21"/>
      <c r="F182" s="21"/>
      <c r="G182" s="21"/>
      <c r="H182" s="21"/>
      <c r="I182" s="21"/>
      <c r="J182" s="21"/>
      <c r="K182" s="21"/>
      <c r="L182" s="22" t="str">
        <f t="shared" si="1"/>
        <v/>
      </c>
      <c r="M182" s="3"/>
      <c r="N182" s="3"/>
      <c r="O182" s="3"/>
      <c r="P182" s="3"/>
      <c r="Q182" s="3"/>
      <c r="R182" s="3"/>
      <c r="S182" s="3"/>
      <c r="T182" s="3"/>
      <c r="U182" s="3"/>
      <c r="V182" s="3"/>
      <c r="W182" s="3"/>
      <c r="X182" s="3"/>
      <c r="Y182" s="3"/>
      <c r="Z182" s="3"/>
    </row>
    <row r="183" ht="33.75" customHeight="1">
      <c r="A183" s="23"/>
      <c r="B183" s="23"/>
      <c r="C183" s="23"/>
      <c r="D183" s="23"/>
      <c r="E183" s="23"/>
      <c r="F183" s="23"/>
      <c r="G183" s="23"/>
      <c r="H183" s="23"/>
      <c r="I183" s="23"/>
      <c r="J183" s="23"/>
      <c r="K183" s="23"/>
      <c r="L183" s="22" t="str">
        <f t="shared" si="1"/>
        <v/>
      </c>
      <c r="M183" s="3"/>
      <c r="N183" s="3"/>
      <c r="O183" s="3"/>
      <c r="P183" s="3"/>
      <c r="Q183" s="3"/>
      <c r="R183" s="3"/>
      <c r="S183" s="3"/>
      <c r="T183" s="3"/>
      <c r="U183" s="3"/>
      <c r="V183" s="3"/>
      <c r="W183" s="3"/>
      <c r="X183" s="3"/>
      <c r="Y183" s="3"/>
      <c r="Z183" s="3"/>
    </row>
    <row r="184" ht="33.75" customHeight="1">
      <c r="A184" s="21"/>
      <c r="B184" s="21"/>
      <c r="C184" s="21"/>
      <c r="D184" s="21"/>
      <c r="E184" s="21"/>
      <c r="F184" s="21"/>
      <c r="G184" s="21"/>
      <c r="H184" s="21"/>
      <c r="I184" s="21"/>
      <c r="J184" s="21"/>
      <c r="K184" s="21"/>
      <c r="L184" s="22" t="str">
        <f t="shared" si="1"/>
        <v/>
      </c>
      <c r="M184" s="3"/>
      <c r="N184" s="3"/>
      <c r="O184" s="3"/>
      <c r="P184" s="3"/>
      <c r="Q184" s="3"/>
      <c r="R184" s="3"/>
      <c r="S184" s="3"/>
      <c r="T184" s="3"/>
      <c r="U184" s="3"/>
      <c r="V184" s="3"/>
      <c r="W184" s="3"/>
      <c r="X184" s="3"/>
      <c r="Y184" s="3"/>
      <c r="Z184" s="3"/>
    </row>
    <row r="185" ht="33.75" customHeight="1">
      <c r="A185" s="23"/>
      <c r="B185" s="23"/>
      <c r="C185" s="23"/>
      <c r="D185" s="23"/>
      <c r="E185" s="23"/>
      <c r="F185" s="23"/>
      <c r="G185" s="23"/>
      <c r="H185" s="23"/>
      <c r="I185" s="23"/>
      <c r="J185" s="23"/>
      <c r="K185" s="23"/>
      <c r="L185" s="22" t="str">
        <f t="shared" si="1"/>
        <v/>
      </c>
      <c r="M185" s="3"/>
      <c r="N185" s="3"/>
      <c r="O185" s="3"/>
      <c r="P185" s="3"/>
      <c r="Q185" s="3"/>
      <c r="R185" s="3"/>
      <c r="S185" s="3"/>
      <c r="T185" s="3"/>
      <c r="U185" s="3"/>
      <c r="V185" s="3"/>
      <c r="W185" s="3"/>
      <c r="X185" s="3"/>
      <c r="Y185" s="3"/>
      <c r="Z185" s="3"/>
    </row>
    <row r="186" ht="33.75" customHeight="1">
      <c r="A186" s="21"/>
      <c r="B186" s="21"/>
      <c r="C186" s="21"/>
      <c r="D186" s="21"/>
      <c r="E186" s="21"/>
      <c r="F186" s="21"/>
      <c r="G186" s="21"/>
      <c r="H186" s="21"/>
      <c r="I186" s="21"/>
      <c r="J186" s="21"/>
      <c r="K186" s="21"/>
      <c r="L186" s="22" t="str">
        <f t="shared" si="1"/>
        <v/>
      </c>
      <c r="M186" s="3"/>
      <c r="N186" s="3"/>
      <c r="O186" s="3"/>
      <c r="P186" s="3"/>
      <c r="Q186" s="3"/>
      <c r="R186" s="3"/>
      <c r="S186" s="3"/>
      <c r="T186" s="3"/>
      <c r="U186" s="3"/>
      <c r="V186" s="3"/>
      <c r="W186" s="3"/>
      <c r="X186" s="3"/>
      <c r="Y186" s="3"/>
      <c r="Z186" s="3"/>
    </row>
    <row r="187" ht="33.75" customHeight="1">
      <c r="A187" s="23"/>
      <c r="B187" s="23"/>
      <c r="C187" s="23"/>
      <c r="D187" s="23"/>
      <c r="E187" s="23"/>
      <c r="F187" s="23"/>
      <c r="G187" s="23"/>
      <c r="H187" s="23"/>
      <c r="I187" s="23"/>
      <c r="J187" s="23"/>
      <c r="K187" s="23"/>
      <c r="L187" s="22" t="str">
        <f t="shared" si="1"/>
        <v/>
      </c>
      <c r="M187" s="3"/>
      <c r="N187" s="3"/>
      <c r="O187" s="3"/>
      <c r="P187" s="3"/>
      <c r="Q187" s="3"/>
      <c r="R187" s="3"/>
      <c r="S187" s="3"/>
      <c r="T187" s="3"/>
      <c r="U187" s="3"/>
      <c r="V187" s="3"/>
      <c r="W187" s="3"/>
      <c r="X187" s="3"/>
      <c r="Y187" s="3"/>
      <c r="Z187" s="3"/>
    </row>
    <row r="188" ht="33.75" customHeight="1">
      <c r="A188" s="21"/>
      <c r="B188" s="21"/>
      <c r="C188" s="21"/>
      <c r="D188" s="21"/>
      <c r="E188" s="21"/>
      <c r="F188" s="21"/>
      <c r="G188" s="21"/>
      <c r="H188" s="21"/>
      <c r="I188" s="21"/>
      <c r="J188" s="21"/>
      <c r="K188" s="21"/>
      <c r="L188" s="22" t="str">
        <f t="shared" si="1"/>
        <v/>
      </c>
      <c r="M188" s="3"/>
      <c r="N188" s="3"/>
      <c r="O188" s="3"/>
      <c r="P188" s="3"/>
      <c r="Q188" s="3"/>
      <c r="R188" s="3"/>
      <c r="S188" s="3"/>
      <c r="T188" s="3"/>
      <c r="U188" s="3"/>
      <c r="V188" s="3"/>
      <c r="W188" s="3"/>
      <c r="X188" s="3"/>
      <c r="Y188" s="3"/>
      <c r="Z188" s="3"/>
    </row>
    <row r="189" ht="33.75" customHeight="1">
      <c r="A189" s="23"/>
      <c r="B189" s="23"/>
      <c r="C189" s="23"/>
      <c r="D189" s="23"/>
      <c r="E189" s="23"/>
      <c r="F189" s="23"/>
      <c r="G189" s="23"/>
      <c r="H189" s="23"/>
      <c r="I189" s="23"/>
      <c r="J189" s="23"/>
      <c r="K189" s="23"/>
      <c r="L189" s="22" t="str">
        <f t="shared" si="1"/>
        <v/>
      </c>
      <c r="M189" s="3"/>
      <c r="N189" s="3"/>
      <c r="O189" s="3"/>
      <c r="P189" s="3"/>
      <c r="Q189" s="3"/>
      <c r="R189" s="3"/>
      <c r="S189" s="3"/>
      <c r="T189" s="3"/>
      <c r="U189" s="3"/>
      <c r="V189" s="3"/>
      <c r="W189" s="3"/>
      <c r="X189" s="3"/>
      <c r="Y189" s="3"/>
      <c r="Z189" s="3"/>
    </row>
    <row r="190" ht="33.75" customHeight="1">
      <c r="A190" s="21"/>
      <c r="B190" s="21"/>
      <c r="C190" s="21"/>
      <c r="D190" s="21"/>
      <c r="E190" s="21"/>
      <c r="F190" s="21"/>
      <c r="G190" s="21"/>
      <c r="H190" s="21"/>
      <c r="I190" s="21"/>
      <c r="J190" s="21"/>
      <c r="K190" s="21"/>
      <c r="L190" s="22" t="str">
        <f t="shared" si="1"/>
        <v/>
      </c>
      <c r="M190" s="3"/>
      <c r="N190" s="3"/>
      <c r="O190" s="3"/>
      <c r="P190" s="3"/>
      <c r="Q190" s="3"/>
      <c r="R190" s="3"/>
      <c r="S190" s="3"/>
      <c r="T190" s="3"/>
      <c r="U190" s="3"/>
      <c r="V190" s="3"/>
      <c r="W190" s="3"/>
      <c r="X190" s="3"/>
      <c r="Y190" s="3"/>
      <c r="Z190" s="3"/>
    </row>
    <row r="191" ht="33.75" customHeight="1">
      <c r="A191" s="23"/>
      <c r="B191" s="23"/>
      <c r="C191" s="23"/>
      <c r="D191" s="23"/>
      <c r="E191" s="23"/>
      <c r="F191" s="23"/>
      <c r="G191" s="23"/>
      <c r="H191" s="23"/>
      <c r="I191" s="23"/>
      <c r="J191" s="23"/>
      <c r="K191" s="23"/>
      <c r="L191" s="22" t="str">
        <f t="shared" si="1"/>
        <v/>
      </c>
      <c r="M191" s="3"/>
      <c r="N191" s="3"/>
      <c r="O191" s="3"/>
      <c r="P191" s="3"/>
      <c r="Q191" s="3"/>
      <c r="R191" s="3"/>
      <c r="S191" s="3"/>
      <c r="T191" s="3"/>
      <c r="U191" s="3"/>
      <c r="V191" s="3"/>
      <c r="W191" s="3"/>
      <c r="X191" s="3"/>
      <c r="Y191" s="3"/>
      <c r="Z191" s="3"/>
    </row>
    <row r="192" ht="33.75" customHeight="1">
      <c r="A192" s="21"/>
      <c r="B192" s="21"/>
      <c r="C192" s="21"/>
      <c r="D192" s="21"/>
      <c r="E192" s="21"/>
      <c r="F192" s="21"/>
      <c r="G192" s="21"/>
      <c r="H192" s="21"/>
      <c r="I192" s="21"/>
      <c r="J192" s="21"/>
      <c r="K192" s="21"/>
      <c r="L192" s="22" t="str">
        <f t="shared" si="1"/>
        <v/>
      </c>
      <c r="M192" s="3"/>
      <c r="N192" s="3"/>
      <c r="O192" s="3"/>
      <c r="P192" s="3"/>
      <c r="Q192" s="3"/>
      <c r="R192" s="3"/>
      <c r="S192" s="3"/>
      <c r="T192" s="3"/>
      <c r="U192" s="3"/>
      <c r="V192" s="3"/>
      <c r="W192" s="3"/>
      <c r="X192" s="3"/>
      <c r="Y192" s="3"/>
      <c r="Z192" s="3"/>
    </row>
    <row r="193" ht="33.75" customHeight="1">
      <c r="A193" s="23"/>
      <c r="B193" s="23"/>
      <c r="C193" s="23"/>
      <c r="D193" s="23"/>
      <c r="E193" s="23"/>
      <c r="F193" s="23"/>
      <c r="G193" s="23"/>
      <c r="H193" s="23"/>
      <c r="I193" s="23"/>
      <c r="J193" s="23"/>
      <c r="K193" s="23"/>
      <c r="L193" s="22" t="str">
        <f t="shared" si="1"/>
        <v/>
      </c>
      <c r="M193" s="3"/>
      <c r="N193" s="3"/>
      <c r="O193" s="3"/>
      <c r="P193" s="3"/>
      <c r="Q193" s="3"/>
      <c r="R193" s="3"/>
      <c r="S193" s="3"/>
      <c r="T193" s="3"/>
      <c r="U193" s="3"/>
      <c r="V193" s="3"/>
      <c r="W193" s="3"/>
      <c r="X193" s="3"/>
      <c r="Y193" s="3"/>
      <c r="Z193" s="3"/>
    </row>
    <row r="194" ht="33.75" customHeight="1">
      <c r="A194" s="21"/>
      <c r="B194" s="21"/>
      <c r="C194" s="21"/>
      <c r="D194" s="21"/>
      <c r="E194" s="21"/>
      <c r="F194" s="21"/>
      <c r="G194" s="21"/>
      <c r="H194" s="21"/>
      <c r="I194" s="21"/>
      <c r="J194" s="21"/>
      <c r="K194" s="21"/>
      <c r="L194" s="22" t="str">
        <f t="shared" si="1"/>
        <v/>
      </c>
      <c r="M194" s="3"/>
      <c r="N194" s="3"/>
      <c r="O194" s="3"/>
      <c r="P194" s="3"/>
      <c r="Q194" s="3"/>
      <c r="R194" s="3"/>
      <c r="S194" s="3"/>
      <c r="T194" s="3"/>
      <c r="U194" s="3"/>
      <c r="V194" s="3"/>
      <c r="W194" s="3"/>
      <c r="X194" s="3"/>
      <c r="Y194" s="3"/>
      <c r="Z194" s="3"/>
    </row>
    <row r="195" ht="33.75" customHeight="1">
      <c r="A195" s="23"/>
      <c r="B195" s="23"/>
      <c r="C195" s="23"/>
      <c r="D195" s="23"/>
      <c r="E195" s="23"/>
      <c r="F195" s="23"/>
      <c r="G195" s="23"/>
      <c r="H195" s="23"/>
      <c r="I195" s="23"/>
      <c r="J195" s="23"/>
      <c r="K195" s="23"/>
      <c r="L195" s="22" t="str">
        <f t="shared" si="1"/>
        <v/>
      </c>
      <c r="M195" s="3"/>
      <c r="N195" s="3"/>
      <c r="O195" s="3"/>
      <c r="P195" s="3"/>
      <c r="Q195" s="3"/>
      <c r="R195" s="3"/>
      <c r="S195" s="3"/>
      <c r="T195" s="3"/>
      <c r="U195" s="3"/>
      <c r="V195" s="3"/>
      <c r="W195" s="3"/>
      <c r="X195" s="3"/>
      <c r="Y195" s="3"/>
      <c r="Z195" s="3"/>
    </row>
    <row r="196" ht="33.75" customHeight="1">
      <c r="A196" s="21"/>
      <c r="B196" s="21"/>
      <c r="C196" s="21"/>
      <c r="D196" s="21"/>
      <c r="E196" s="21"/>
      <c r="F196" s="21"/>
      <c r="G196" s="21"/>
      <c r="H196" s="21"/>
      <c r="I196" s="21"/>
      <c r="J196" s="21"/>
      <c r="K196" s="21"/>
      <c r="L196" s="22" t="str">
        <f t="shared" si="1"/>
        <v/>
      </c>
      <c r="M196" s="3"/>
      <c r="N196" s="3"/>
      <c r="O196" s="3"/>
      <c r="P196" s="3"/>
      <c r="Q196" s="3"/>
      <c r="R196" s="3"/>
      <c r="S196" s="3"/>
      <c r="T196" s="3"/>
      <c r="U196" s="3"/>
      <c r="V196" s="3"/>
      <c r="W196" s="3"/>
      <c r="X196" s="3"/>
      <c r="Y196" s="3"/>
      <c r="Z196" s="3"/>
    </row>
    <row r="197" ht="33.75" customHeight="1">
      <c r="A197" s="23"/>
      <c r="B197" s="23"/>
      <c r="C197" s="23"/>
      <c r="D197" s="23"/>
      <c r="E197" s="23"/>
      <c r="F197" s="23"/>
      <c r="G197" s="23"/>
      <c r="H197" s="23"/>
      <c r="I197" s="23"/>
      <c r="J197" s="23"/>
      <c r="K197" s="23"/>
      <c r="L197" s="22" t="str">
        <f t="shared" si="1"/>
        <v/>
      </c>
      <c r="M197" s="3"/>
      <c r="N197" s="3"/>
      <c r="O197" s="3"/>
      <c r="P197" s="3"/>
      <c r="Q197" s="3"/>
      <c r="R197" s="3"/>
      <c r="S197" s="3"/>
      <c r="T197" s="3"/>
      <c r="U197" s="3"/>
      <c r="V197" s="3"/>
      <c r="W197" s="3"/>
      <c r="X197" s="3"/>
      <c r="Y197" s="3"/>
      <c r="Z197" s="3"/>
    </row>
    <row r="198" ht="33.75" customHeight="1">
      <c r="A198" s="21"/>
      <c r="B198" s="21"/>
      <c r="C198" s="21"/>
      <c r="D198" s="21"/>
      <c r="E198" s="21"/>
      <c r="F198" s="21"/>
      <c r="G198" s="21"/>
      <c r="H198" s="21"/>
      <c r="I198" s="21"/>
      <c r="J198" s="21"/>
      <c r="K198" s="21"/>
      <c r="L198" s="22" t="str">
        <f t="shared" si="1"/>
        <v/>
      </c>
      <c r="M198" s="3"/>
      <c r="N198" s="3"/>
      <c r="O198" s="3"/>
      <c r="P198" s="3"/>
      <c r="Q198" s="3"/>
      <c r="R198" s="3"/>
      <c r="S198" s="3"/>
      <c r="T198" s="3"/>
      <c r="U198" s="3"/>
      <c r="V198" s="3"/>
      <c r="W198" s="3"/>
      <c r="X198" s="3"/>
      <c r="Y198" s="3"/>
      <c r="Z198" s="3"/>
    </row>
    <row r="199" ht="33.75" customHeight="1">
      <c r="A199" s="23"/>
      <c r="B199" s="23"/>
      <c r="C199" s="23"/>
      <c r="D199" s="23"/>
      <c r="E199" s="23"/>
      <c r="F199" s="23"/>
      <c r="G199" s="23"/>
      <c r="H199" s="23"/>
      <c r="I199" s="23"/>
      <c r="J199" s="23"/>
      <c r="K199" s="23"/>
      <c r="L199" s="22" t="str">
        <f t="shared" si="1"/>
        <v/>
      </c>
      <c r="M199" s="3"/>
      <c r="N199" s="3"/>
      <c r="O199" s="3"/>
      <c r="P199" s="3"/>
      <c r="Q199" s="3"/>
      <c r="R199" s="3"/>
      <c r="S199" s="3"/>
      <c r="T199" s="3"/>
      <c r="U199" s="3"/>
      <c r="V199" s="3"/>
      <c r="W199" s="3"/>
      <c r="X199" s="3"/>
      <c r="Y199" s="3"/>
      <c r="Z199" s="3"/>
    </row>
    <row r="200" ht="33.75" customHeight="1">
      <c r="A200" s="21"/>
      <c r="B200" s="21"/>
      <c r="C200" s="21"/>
      <c r="D200" s="21"/>
      <c r="E200" s="21"/>
      <c r="F200" s="21"/>
      <c r="G200" s="21"/>
      <c r="H200" s="21"/>
      <c r="I200" s="21"/>
      <c r="J200" s="21"/>
      <c r="K200" s="21"/>
      <c r="L200" s="22" t="str">
        <f t="shared" si="1"/>
        <v/>
      </c>
      <c r="M200" s="3"/>
      <c r="N200" s="3"/>
      <c r="O200" s="3"/>
      <c r="P200" s="3"/>
      <c r="Q200" s="3"/>
      <c r="R200" s="3"/>
      <c r="S200" s="3"/>
      <c r="T200" s="3"/>
      <c r="U200" s="3"/>
      <c r="V200" s="3"/>
      <c r="W200" s="3"/>
      <c r="X200" s="3"/>
      <c r="Y200" s="3"/>
      <c r="Z200" s="3"/>
    </row>
    <row r="201" ht="33.75" customHeight="1">
      <c r="A201" s="23"/>
      <c r="B201" s="23"/>
      <c r="C201" s="23"/>
      <c r="D201" s="23"/>
      <c r="E201" s="23"/>
      <c r="F201" s="23"/>
      <c r="G201" s="23"/>
      <c r="H201" s="23"/>
      <c r="I201" s="23"/>
      <c r="J201" s="23"/>
      <c r="K201" s="23"/>
      <c r="L201" s="22" t="str">
        <f t="shared" si="1"/>
        <v/>
      </c>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2">
    <mergeCell ref="A1:G1"/>
    <mergeCell ref="A2:G2"/>
  </mergeCells>
  <dataValidations>
    <dataValidation type="list" allowBlank="1" showInputMessage="1" showErrorMessage="1" prompt="Valor no admitido - Responda Sí o No." sqref="K5:K201">
      <formula1>"Sí,No"</formula1>
    </dataValidation>
    <dataValidation type="list" allowBlank="1" showInputMessage="1" showErrorMessage="1" prompt="Valor no admitido - Sólo se admite Funcional o No funcional." sqref="C5:C201">
      <formula1>"Funcional,No funcional"</formula1>
    </dataValidation>
    <dataValidation type="list" allowBlank="1" showInputMessage="1" showErrorMessage="1" prompt="Valor no admitido - Categoría no prevista por la clasificación de la cátedra." sqref="D5:D201">
      <formula1>"Rendimiento,Fiabilidad,Seguridad,Usabilidad,Mantenibilidad,Portabilidad,Cumplimiento normativo"</formula1>
    </dataValidation>
    <dataValidation type="list" allowBlank="1" showInputMessage="1" showErrorMessage="1" prompt="Valor no admitido - Estados admitidos: Validado, Pendiente o Rechazado por el referente." sqref="I5:I201">
      <formula1>"Validado,Pendiente,Rechazado por el referente"</formula1>
    </dataValidation>
    <dataValidation type="list" allowBlank="1" showInputMessage="1" showErrorMessage="1" prompt="Valor no admitido - Escala MoSCoW: Must, Should, Could o Won't." sqref="E5:E201">
      <formula1>"Must,Should,Could,Won't"</formula1>
    </dataValidation>
  </dataValidations>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43"/>
    <col customWidth="1" min="2" max="2" width="96.29"/>
    <col customWidth="1" min="3" max="3" width="54.0"/>
    <col customWidth="1" min="4" max="4" width="14.0"/>
    <col customWidth="1" min="5" max="5" width="69.0"/>
    <col customWidth="1" min="6" max="6" width="24.0"/>
    <col customWidth="1" min="7" max="7" width="62.0"/>
    <col customWidth="1" min="8" max="8" width="48.0"/>
  </cols>
  <sheetData>
    <row r="1" ht="30.75" customHeight="1">
      <c r="A1" s="2" t="s">
        <v>2</v>
      </c>
      <c r="H1" s="3"/>
      <c r="I1" s="3"/>
      <c r="J1" s="3"/>
      <c r="K1" s="3"/>
      <c r="L1" s="3"/>
      <c r="M1" s="3"/>
      <c r="N1" s="3"/>
      <c r="O1" s="3"/>
      <c r="P1" s="3"/>
      <c r="Q1" s="3"/>
      <c r="R1" s="3"/>
      <c r="S1" s="3"/>
      <c r="T1" s="3"/>
      <c r="U1" s="3"/>
      <c r="V1" s="3"/>
      <c r="W1" s="3"/>
      <c r="X1" s="3"/>
      <c r="Y1" s="3"/>
      <c r="Z1" s="3"/>
    </row>
    <row r="2" ht="30.75" customHeight="1">
      <c r="A2" s="5" t="s">
        <v>4</v>
      </c>
      <c r="H2" s="3"/>
      <c r="I2" s="3"/>
      <c r="J2" s="3"/>
      <c r="K2" s="3"/>
      <c r="L2" s="3"/>
      <c r="M2" s="3"/>
      <c r="N2" s="3"/>
      <c r="O2" s="3"/>
      <c r="P2" s="3"/>
      <c r="Q2" s="3"/>
      <c r="R2" s="3"/>
      <c r="S2" s="3"/>
      <c r="T2" s="3"/>
      <c r="U2" s="3"/>
      <c r="V2" s="3"/>
      <c r="W2" s="3"/>
      <c r="X2" s="3"/>
      <c r="Y2" s="3"/>
      <c r="Z2" s="3"/>
    </row>
    <row r="3" ht="12.0" customHeight="1">
      <c r="A3" s="3"/>
      <c r="B3" s="3"/>
      <c r="C3" s="3"/>
      <c r="D3" s="3"/>
      <c r="E3" s="3"/>
      <c r="F3" s="3"/>
      <c r="G3" s="3"/>
      <c r="H3" s="3"/>
      <c r="I3" s="3"/>
      <c r="J3" s="3"/>
      <c r="K3" s="3"/>
      <c r="L3" s="3"/>
      <c r="M3" s="3"/>
      <c r="N3" s="3"/>
      <c r="O3" s="3"/>
      <c r="P3" s="3"/>
      <c r="Q3" s="3"/>
      <c r="R3" s="3"/>
      <c r="S3" s="3"/>
      <c r="T3" s="3"/>
      <c r="U3" s="3"/>
      <c r="V3" s="3"/>
      <c r="W3" s="3"/>
      <c r="X3" s="3"/>
      <c r="Y3" s="3"/>
      <c r="Z3" s="3"/>
    </row>
    <row r="4" ht="45.75" customHeight="1">
      <c r="A4" s="7" t="s">
        <v>10</v>
      </c>
      <c r="B4" s="7" t="s">
        <v>15</v>
      </c>
      <c r="C4" s="7" t="s">
        <v>16</v>
      </c>
      <c r="D4" s="7" t="s">
        <v>17</v>
      </c>
      <c r="E4" s="7" t="s">
        <v>19</v>
      </c>
      <c r="F4" s="7" t="s">
        <v>21</v>
      </c>
      <c r="G4" s="7" t="s">
        <v>22</v>
      </c>
      <c r="H4" s="7" t="s">
        <v>24</v>
      </c>
      <c r="I4" s="9"/>
      <c r="J4" s="9"/>
      <c r="K4" s="9"/>
      <c r="L4" s="9"/>
      <c r="M4" s="9"/>
      <c r="N4" s="9"/>
      <c r="O4" s="9"/>
      <c r="P4" s="9"/>
      <c r="Q4" s="9"/>
      <c r="R4" s="9"/>
      <c r="S4" s="9"/>
      <c r="T4" s="9"/>
      <c r="U4" s="9"/>
      <c r="V4" s="9"/>
      <c r="W4" s="9"/>
      <c r="X4" s="9"/>
      <c r="Y4" s="9"/>
      <c r="Z4" s="9"/>
    </row>
    <row r="5" ht="45.0" customHeight="1">
      <c r="A5" s="12" t="s">
        <v>33</v>
      </c>
      <c r="B5" s="12" t="s">
        <v>34</v>
      </c>
      <c r="C5" s="12" t="s">
        <v>35</v>
      </c>
      <c r="D5" s="12" t="s">
        <v>32</v>
      </c>
      <c r="E5" s="12"/>
      <c r="F5" s="13" t="str">
        <f t="shared" ref="F5:F61" si="1">IF($A5="","",IF(AND($D5="",$E5=""),"Hallazgo sin destino",IF($D5="","Sin requisito, justificado","Deriva requisito")))</f>
        <v>Deriva requisito</v>
      </c>
      <c r="G5" s="12" t="s">
        <v>54</v>
      </c>
      <c r="H5" s="12" t="s">
        <v>56</v>
      </c>
      <c r="I5" s="9"/>
      <c r="J5" s="9"/>
      <c r="K5" s="9"/>
      <c r="L5" s="9"/>
      <c r="M5" s="9"/>
      <c r="N5" s="9"/>
      <c r="O5" s="9"/>
      <c r="P5" s="9"/>
      <c r="Q5" s="9"/>
      <c r="R5" s="9"/>
      <c r="S5" s="9"/>
      <c r="T5" s="9"/>
      <c r="U5" s="9"/>
      <c r="V5" s="9"/>
      <c r="W5" s="9"/>
      <c r="X5" s="9"/>
      <c r="Y5" s="9"/>
      <c r="Z5" s="9"/>
    </row>
    <row r="6" ht="45.0" customHeight="1">
      <c r="A6" s="15" t="s">
        <v>64</v>
      </c>
      <c r="B6" s="15" t="s">
        <v>65</v>
      </c>
      <c r="C6" s="15" t="s">
        <v>66</v>
      </c>
      <c r="D6" s="15" t="s">
        <v>32</v>
      </c>
      <c r="E6" s="15"/>
      <c r="F6" s="13" t="str">
        <f t="shared" si="1"/>
        <v>Deriva requisito</v>
      </c>
      <c r="G6" s="15" t="s">
        <v>54</v>
      </c>
      <c r="H6" s="15" t="s">
        <v>56</v>
      </c>
      <c r="I6" s="9"/>
      <c r="J6" s="9"/>
      <c r="K6" s="9"/>
      <c r="L6" s="9"/>
      <c r="M6" s="9"/>
      <c r="N6" s="9"/>
      <c r="O6" s="9"/>
      <c r="P6" s="9"/>
      <c r="Q6" s="9"/>
      <c r="R6" s="9"/>
      <c r="S6" s="9"/>
      <c r="T6" s="9"/>
      <c r="U6" s="9"/>
      <c r="V6" s="9"/>
      <c r="W6" s="9"/>
      <c r="X6" s="9"/>
      <c r="Y6" s="9"/>
      <c r="Z6" s="9"/>
    </row>
    <row r="7" ht="45.0" customHeight="1">
      <c r="A7" s="12" t="s">
        <v>69</v>
      </c>
      <c r="B7" s="12" t="s">
        <v>70</v>
      </c>
      <c r="C7" s="12" t="s">
        <v>71</v>
      </c>
      <c r="D7" s="12"/>
      <c r="E7" s="12" t="s">
        <v>73</v>
      </c>
      <c r="F7" s="13" t="str">
        <f t="shared" si="1"/>
        <v>Sin requisito, justificado</v>
      </c>
      <c r="G7" s="12"/>
      <c r="H7" s="12"/>
      <c r="I7" s="9"/>
      <c r="J7" s="9"/>
      <c r="K7" s="9"/>
      <c r="L7" s="9"/>
      <c r="M7" s="9"/>
      <c r="N7" s="9"/>
      <c r="O7" s="9"/>
      <c r="P7" s="9"/>
      <c r="Q7" s="9"/>
      <c r="R7" s="9"/>
      <c r="S7" s="9"/>
      <c r="T7" s="9"/>
      <c r="U7" s="9"/>
      <c r="V7" s="9"/>
      <c r="W7" s="9"/>
      <c r="X7" s="9"/>
      <c r="Y7" s="9"/>
      <c r="Z7" s="9"/>
    </row>
    <row r="8" ht="45.0" customHeight="1">
      <c r="A8" s="15" t="s">
        <v>78</v>
      </c>
      <c r="B8" s="15" t="s">
        <v>80</v>
      </c>
      <c r="C8" s="15" t="s">
        <v>81</v>
      </c>
      <c r="D8" s="15" t="s">
        <v>82</v>
      </c>
      <c r="E8" s="15"/>
      <c r="F8" s="13" t="str">
        <f t="shared" si="1"/>
        <v>Deriva requisito</v>
      </c>
      <c r="G8" s="15" t="s">
        <v>83</v>
      </c>
      <c r="H8" s="15" t="s">
        <v>85</v>
      </c>
      <c r="I8" s="9"/>
      <c r="J8" s="9"/>
      <c r="K8" s="9"/>
      <c r="L8" s="9"/>
      <c r="M8" s="9"/>
      <c r="N8" s="9"/>
      <c r="O8" s="9"/>
      <c r="P8" s="9"/>
      <c r="Q8" s="9"/>
      <c r="R8" s="9"/>
      <c r="S8" s="9"/>
      <c r="T8" s="9"/>
      <c r="U8" s="9"/>
      <c r="V8" s="9"/>
      <c r="W8" s="9"/>
      <c r="X8" s="9"/>
      <c r="Y8" s="9"/>
      <c r="Z8" s="9"/>
    </row>
    <row r="9" ht="45.0" customHeight="1">
      <c r="A9" s="12" t="s">
        <v>91</v>
      </c>
      <c r="B9" s="12" t="s">
        <v>93</v>
      </c>
      <c r="C9" s="12" t="s">
        <v>94</v>
      </c>
      <c r="D9" s="12"/>
      <c r="E9" s="12" t="s">
        <v>95</v>
      </c>
      <c r="F9" s="13" t="str">
        <f t="shared" si="1"/>
        <v>Sin requisito, justificado</v>
      </c>
      <c r="G9" s="12"/>
      <c r="H9" s="12"/>
      <c r="I9" s="9"/>
      <c r="J9" s="9"/>
      <c r="K9" s="9"/>
      <c r="L9" s="9"/>
      <c r="M9" s="9"/>
      <c r="N9" s="9"/>
      <c r="O9" s="9"/>
      <c r="P9" s="9"/>
      <c r="Q9" s="9"/>
      <c r="R9" s="9"/>
      <c r="S9" s="9"/>
      <c r="T9" s="9"/>
      <c r="U9" s="9"/>
      <c r="V9" s="9"/>
      <c r="W9" s="9"/>
      <c r="X9" s="9"/>
      <c r="Y9" s="9"/>
      <c r="Z9" s="9"/>
    </row>
    <row r="10" ht="45.0" customHeight="1">
      <c r="A10" s="15" t="s">
        <v>99</v>
      </c>
      <c r="B10" s="15" t="s">
        <v>101</v>
      </c>
      <c r="C10" s="15" t="s">
        <v>102</v>
      </c>
      <c r="D10" s="15" t="s">
        <v>103</v>
      </c>
      <c r="E10" s="15"/>
      <c r="F10" s="13" t="str">
        <f t="shared" si="1"/>
        <v>Deriva requisito</v>
      </c>
      <c r="G10" s="15" t="s">
        <v>108</v>
      </c>
      <c r="H10" s="15" t="s">
        <v>111</v>
      </c>
      <c r="I10" s="9"/>
      <c r="J10" s="9"/>
      <c r="K10" s="9"/>
      <c r="L10" s="9"/>
      <c r="M10" s="9"/>
      <c r="N10" s="9"/>
      <c r="O10" s="9"/>
      <c r="P10" s="9"/>
      <c r="Q10" s="9"/>
      <c r="R10" s="9"/>
      <c r="S10" s="9"/>
      <c r="T10" s="9"/>
      <c r="U10" s="9"/>
      <c r="V10" s="9"/>
      <c r="W10" s="9"/>
      <c r="X10" s="9"/>
      <c r="Y10" s="9"/>
      <c r="Z10" s="9"/>
    </row>
    <row r="11" ht="45.0" customHeight="1">
      <c r="A11" s="12" t="s">
        <v>113</v>
      </c>
      <c r="B11" s="12" t="s">
        <v>114</v>
      </c>
      <c r="C11" s="12" t="s">
        <v>115</v>
      </c>
      <c r="D11" s="12" t="s">
        <v>103</v>
      </c>
      <c r="E11" s="12"/>
      <c r="F11" s="13" t="str">
        <f t="shared" si="1"/>
        <v>Deriva requisito</v>
      </c>
      <c r="G11" s="12" t="s">
        <v>108</v>
      </c>
      <c r="H11" s="12" t="s">
        <v>111</v>
      </c>
      <c r="I11" s="9"/>
      <c r="J11" s="9"/>
      <c r="K11" s="9"/>
      <c r="L11" s="9"/>
      <c r="M11" s="9"/>
      <c r="N11" s="9"/>
      <c r="O11" s="9"/>
      <c r="P11" s="9"/>
      <c r="Q11" s="9"/>
      <c r="R11" s="9"/>
      <c r="S11" s="9"/>
      <c r="T11" s="9"/>
      <c r="U11" s="9"/>
      <c r="V11" s="9"/>
      <c r="W11" s="9"/>
      <c r="X11" s="9"/>
      <c r="Y11" s="9"/>
      <c r="Z11" s="9"/>
    </row>
    <row r="12" ht="45.0" customHeight="1">
      <c r="A12" s="15" t="s">
        <v>123</v>
      </c>
      <c r="B12" s="15" t="s">
        <v>125</v>
      </c>
      <c r="C12" s="15" t="s">
        <v>126</v>
      </c>
      <c r="D12" s="15" t="s">
        <v>127</v>
      </c>
      <c r="E12" s="15"/>
      <c r="F12" s="13" t="str">
        <f t="shared" si="1"/>
        <v>Deriva requisito</v>
      </c>
      <c r="G12" s="15" t="s">
        <v>128</v>
      </c>
      <c r="H12" s="15" t="s">
        <v>130</v>
      </c>
      <c r="I12" s="9"/>
      <c r="J12" s="9"/>
      <c r="K12" s="9"/>
      <c r="L12" s="9"/>
      <c r="M12" s="9"/>
      <c r="N12" s="9"/>
      <c r="O12" s="9"/>
      <c r="P12" s="9"/>
      <c r="Q12" s="9"/>
      <c r="R12" s="9"/>
      <c r="S12" s="9"/>
      <c r="T12" s="9"/>
      <c r="U12" s="9"/>
      <c r="V12" s="9"/>
      <c r="W12" s="9"/>
      <c r="X12" s="9"/>
      <c r="Y12" s="9"/>
      <c r="Z12" s="9"/>
    </row>
    <row r="13" ht="45.0" customHeight="1">
      <c r="A13" s="12" t="s">
        <v>134</v>
      </c>
      <c r="B13" s="12" t="s">
        <v>135</v>
      </c>
      <c r="C13" s="12" t="s">
        <v>136</v>
      </c>
      <c r="D13" s="12" t="s">
        <v>116</v>
      </c>
      <c r="E13" s="12"/>
      <c r="F13" s="13" t="str">
        <f t="shared" si="1"/>
        <v>Deriva requisito</v>
      </c>
      <c r="G13" s="12" t="s">
        <v>137</v>
      </c>
      <c r="H13" s="12" t="s">
        <v>138</v>
      </c>
      <c r="I13" s="9"/>
      <c r="J13" s="9"/>
      <c r="K13" s="9"/>
      <c r="L13" s="9"/>
      <c r="M13" s="9"/>
      <c r="N13" s="9"/>
      <c r="O13" s="9"/>
      <c r="P13" s="9"/>
      <c r="Q13" s="9"/>
      <c r="R13" s="9"/>
      <c r="S13" s="9"/>
      <c r="T13" s="9"/>
      <c r="U13" s="9"/>
      <c r="V13" s="9"/>
      <c r="W13" s="9"/>
      <c r="X13" s="9"/>
      <c r="Y13" s="9"/>
      <c r="Z13" s="9"/>
    </row>
    <row r="14" ht="45.0" customHeight="1">
      <c r="A14" s="15" t="s">
        <v>142</v>
      </c>
      <c r="B14" s="15" t="s">
        <v>143</v>
      </c>
      <c r="C14" s="15" t="s">
        <v>136</v>
      </c>
      <c r="D14" s="15" t="s">
        <v>144</v>
      </c>
      <c r="E14" s="15"/>
      <c r="F14" s="13" t="str">
        <f t="shared" si="1"/>
        <v>Deriva requisito</v>
      </c>
      <c r="G14" s="15" t="s">
        <v>146</v>
      </c>
      <c r="H14" s="15" t="s">
        <v>148</v>
      </c>
      <c r="I14" s="9"/>
      <c r="J14" s="9"/>
      <c r="K14" s="9"/>
      <c r="L14" s="9"/>
      <c r="M14" s="9"/>
      <c r="N14" s="9"/>
      <c r="O14" s="9"/>
      <c r="P14" s="9"/>
      <c r="Q14" s="9"/>
      <c r="R14" s="9"/>
      <c r="S14" s="9"/>
      <c r="T14" s="9"/>
      <c r="U14" s="9"/>
      <c r="V14" s="9"/>
      <c r="W14" s="9"/>
      <c r="X14" s="9"/>
      <c r="Y14" s="9"/>
      <c r="Z14" s="9"/>
    </row>
    <row r="15" ht="45.0" customHeight="1">
      <c r="A15" s="12" t="s">
        <v>152</v>
      </c>
      <c r="B15" s="12" t="s">
        <v>153</v>
      </c>
      <c r="C15" s="12" t="s">
        <v>154</v>
      </c>
      <c r="D15" s="12" t="s">
        <v>156</v>
      </c>
      <c r="E15" s="12"/>
      <c r="F15" s="13" t="str">
        <f t="shared" si="1"/>
        <v>Deriva requisito</v>
      </c>
      <c r="G15" s="12" t="s">
        <v>159</v>
      </c>
      <c r="H15" s="12" t="s">
        <v>160</v>
      </c>
      <c r="I15" s="9"/>
      <c r="J15" s="9"/>
      <c r="K15" s="9"/>
      <c r="L15" s="9"/>
      <c r="M15" s="9"/>
      <c r="N15" s="9"/>
      <c r="O15" s="9"/>
      <c r="P15" s="9"/>
      <c r="Q15" s="9"/>
      <c r="R15" s="9"/>
      <c r="S15" s="9"/>
      <c r="T15" s="9"/>
      <c r="U15" s="9"/>
      <c r="V15" s="9"/>
      <c r="W15" s="9"/>
      <c r="X15" s="9"/>
      <c r="Y15" s="9"/>
      <c r="Z15" s="9"/>
    </row>
    <row r="16" ht="45.0" customHeight="1">
      <c r="A16" s="15" t="s">
        <v>167</v>
      </c>
      <c r="B16" s="15" t="s">
        <v>168</v>
      </c>
      <c r="C16" s="15" t="s">
        <v>169</v>
      </c>
      <c r="D16" s="15"/>
      <c r="E16" s="15" t="s">
        <v>170</v>
      </c>
      <c r="F16" s="13" t="str">
        <f t="shared" si="1"/>
        <v>Sin requisito, justificado</v>
      </c>
      <c r="G16" s="15"/>
      <c r="H16" s="15"/>
      <c r="I16" s="9"/>
      <c r="J16" s="9"/>
      <c r="K16" s="9"/>
      <c r="L16" s="9"/>
      <c r="M16" s="9"/>
      <c r="N16" s="9"/>
      <c r="O16" s="9"/>
      <c r="P16" s="9"/>
      <c r="Q16" s="9"/>
      <c r="R16" s="9"/>
      <c r="S16" s="9"/>
      <c r="T16" s="9"/>
      <c r="U16" s="9"/>
      <c r="V16" s="9"/>
      <c r="W16" s="9"/>
      <c r="X16" s="9"/>
      <c r="Y16" s="9"/>
      <c r="Z16" s="9"/>
    </row>
    <row r="17" ht="45.0" customHeight="1">
      <c r="A17" s="12" t="s">
        <v>173</v>
      </c>
      <c r="B17" s="12" t="s">
        <v>174</v>
      </c>
      <c r="C17" s="12" t="s">
        <v>175</v>
      </c>
      <c r="D17" s="12" t="s">
        <v>176</v>
      </c>
      <c r="E17" s="12"/>
      <c r="F17" s="13" t="str">
        <f t="shared" si="1"/>
        <v>Deriva requisito</v>
      </c>
      <c r="G17" s="12" t="s">
        <v>179</v>
      </c>
      <c r="H17" s="12" t="s">
        <v>180</v>
      </c>
      <c r="I17" s="9"/>
      <c r="J17" s="9"/>
      <c r="K17" s="9"/>
      <c r="L17" s="9"/>
      <c r="M17" s="9"/>
      <c r="N17" s="9"/>
      <c r="O17" s="9"/>
      <c r="P17" s="9"/>
      <c r="Q17" s="9"/>
      <c r="R17" s="9"/>
      <c r="S17" s="9"/>
      <c r="T17" s="9"/>
      <c r="U17" s="9"/>
      <c r="V17" s="9"/>
      <c r="W17" s="9"/>
      <c r="X17" s="9"/>
      <c r="Y17" s="9"/>
      <c r="Z17" s="9"/>
    </row>
    <row r="18" ht="45.0" customHeight="1">
      <c r="A18" s="15" t="s">
        <v>182</v>
      </c>
      <c r="B18" s="15" t="s">
        <v>187</v>
      </c>
      <c r="C18" s="15" t="s">
        <v>189</v>
      </c>
      <c r="D18" s="15" t="s">
        <v>176</v>
      </c>
      <c r="E18" s="15"/>
      <c r="F18" s="13" t="str">
        <f t="shared" si="1"/>
        <v>Deriva requisito</v>
      </c>
      <c r="G18" s="15" t="s">
        <v>179</v>
      </c>
      <c r="H18" s="15" t="s">
        <v>180</v>
      </c>
      <c r="I18" s="9"/>
      <c r="J18" s="9"/>
      <c r="K18" s="9"/>
      <c r="L18" s="9"/>
      <c r="M18" s="9"/>
      <c r="N18" s="9"/>
      <c r="O18" s="9"/>
      <c r="P18" s="9"/>
      <c r="Q18" s="9"/>
      <c r="R18" s="9"/>
      <c r="S18" s="9"/>
      <c r="T18" s="9"/>
      <c r="U18" s="9"/>
      <c r="V18" s="9"/>
      <c r="W18" s="9"/>
      <c r="X18" s="9"/>
      <c r="Y18" s="9"/>
      <c r="Z18" s="9"/>
    </row>
    <row r="19" ht="45.0" customHeight="1">
      <c r="A19" s="12" t="s">
        <v>193</v>
      </c>
      <c r="B19" s="12" t="s">
        <v>194</v>
      </c>
      <c r="C19" s="12" t="s">
        <v>195</v>
      </c>
      <c r="D19" s="12" t="s">
        <v>197</v>
      </c>
      <c r="E19" s="12"/>
      <c r="F19" s="13" t="str">
        <f t="shared" si="1"/>
        <v>Deriva requisito</v>
      </c>
      <c r="G19" s="12" t="s">
        <v>200</v>
      </c>
      <c r="H19" s="12" t="s">
        <v>201</v>
      </c>
      <c r="I19" s="9"/>
      <c r="J19" s="9"/>
      <c r="K19" s="9"/>
      <c r="L19" s="9"/>
      <c r="M19" s="9"/>
      <c r="N19" s="9"/>
      <c r="O19" s="9"/>
      <c r="P19" s="9"/>
      <c r="Q19" s="9"/>
      <c r="R19" s="9"/>
      <c r="S19" s="9"/>
      <c r="T19" s="9"/>
      <c r="U19" s="9"/>
      <c r="V19" s="9"/>
      <c r="W19" s="9"/>
      <c r="X19" s="9"/>
      <c r="Y19" s="9"/>
      <c r="Z19" s="9"/>
    </row>
    <row r="20" ht="45.0" customHeight="1">
      <c r="A20" s="15" t="s">
        <v>203</v>
      </c>
      <c r="B20" s="15" t="s">
        <v>204</v>
      </c>
      <c r="C20" s="15" t="s">
        <v>206</v>
      </c>
      <c r="D20" s="15" t="s">
        <v>207</v>
      </c>
      <c r="E20" s="15"/>
      <c r="F20" s="13" t="str">
        <f t="shared" si="1"/>
        <v>Deriva requisito</v>
      </c>
      <c r="G20" s="15" t="s">
        <v>208</v>
      </c>
      <c r="H20" s="15" t="s">
        <v>209</v>
      </c>
      <c r="I20" s="9"/>
      <c r="J20" s="9"/>
      <c r="K20" s="9"/>
      <c r="L20" s="9"/>
      <c r="M20" s="9"/>
      <c r="N20" s="9"/>
      <c r="O20" s="9"/>
      <c r="P20" s="9"/>
      <c r="Q20" s="9"/>
      <c r="R20" s="9"/>
      <c r="S20" s="9"/>
      <c r="T20" s="9"/>
      <c r="U20" s="9"/>
      <c r="V20" s="9"/>
      <c r="W20" s="9"/>
      <c r="X20" s="9"/>
      <c r="Y20" s="9"/>
      <c r="Z20" s="9"/>
    </row>
    <row r="21" ht="45.0" customHeight="1">
      <c r="A21" s="12" t="s">
        <v>214</v>
      </c>
      <c r="B21" s="12" t="s">
        <v>215</v>
      </c>
      <c r="C21" s="12" t="s">
        <v>216</v>
      </c>
      <c r="D21" s="12" t="s">
        <v>217</v>
      </c>
      <c r="E21" s="12"/>
      <c r="F21" s="13" t="str">
        <f t="shared" si="1"/>
        <v>Deriva requisito</v>
      </c>
      <c r="G21" s="12" t="s">
        <v>218</v>
      </c>
      <c r="H21" s="12" t="s">
        <v>219</v>
      </c>
      <c r="I21" s="9"/>
      <c r="J21" s="9"/>
      <c r="K21" s="9"/>
      <c r="L21" s="9"/>
      <c r="M21" s="9"/>
      <c r="N21" s="9"/>
      <c r="O21" s="9"/>
      <c r="P21" s="9"/>
      <c r="Q21" s="9"/>
      <c r="R21" s="9"/>
      <c r="S21" s="9"/>
      <c r="T21" s="9"/>
      <c r="U21" s="9"/>
      <c r="V21" s="9"/>
      <c r="W21" s="9"/>
      <c r="X21" s="9"/>
      <c r="Y21" s="9"/>
      <c r="Z21" s="9"/>
    </row>
    <row r="22" ht="45.0" customHeight="1">
      <c r="A22" s="15" t="s">
        <v>223</v>
      </c>
      <c r="B22" s="15" t="s">
        <v>224</v>
      </c>
      <c r="C22" s="15" t="s">
        <v>175</v>
      </c>
      <c r="D22" s="15" t="s">
        <v>226</v>
      </c>
      <c r="E22" s="15"/>
      <c r="F22" s="13" t="str">
        <f t="shared" si="1"/>
        <v>Deriva requisito</v>
      </c>
      <c r="G22" s="15" t="s">
        <v>228</v>
      </c>
      <c r="H22" s="15" t="s">
        <v>229</v>
      </c>
      <c r="I22" s="9"/>
      <c r="J22" s="9"/>
      <c r="K22" s="9"/>
      <c r="L22" s="9"/>
      <c r="M22" s="9"/>
      <c r="N22" s="9"/>
      <c r="O22" s="9"/>
      <c r="P22" s="9"/>
      <c r="Q22" s="9"/>
      <c r="R22" s="9"/>
      <c r="S22" s="9"/>
      <c r="T22" s="9"/>
      <c r="U22" s="9"/>
      <c r="V22" s="9"/>
      <c r="W22" s="9"/>
      <c r="X22" s="9"/>
      <c r="Y22" s="9"/>
      <c r="Z22" s="9"/>
    </row>
    <row r="23" ht="45.0" customHeight="1">
      <c r="A23" s="12" t="s">
        <v>232</v>
      </c>
      <c r="B23" s="12" t="s">
        <v>234</v>
      </c>
      <c r="C23" s="12" t="s">
        <v>235</v>
      </c>
      <c r="D23" s="12" t="s">
        <v>236</v>
      </c>
      <c r="E23" s="12"/>
      <c r="F23" s="13" t="str">
        <f t="shared" si="1"/>
        <v>Deriva requisito</v>
      </c>
      <c r="G23" s="12" t="s">
        <v>237</v>
      </c>
      <c r="H23" s="12" t="s">
        <v>238</v>
      </c>
      <c r="I23" s="9"/>
      <c r="J23" s="9"/>
      <c r="K23" s="9"/>
      <c r="L23" s="9"/>
      <c r="M23" s="9"/>
      <c r="N23" s="9"/>
      <c r="O23" s="9"/>
      <c r="P23" s="9"/>
      <c r="Q23" s="9"/>
      <c r="R23" s="9"/>
      <c r="S23" s="9"/>
      <c r="T23" s="9"/>
      <c r="U23" s="9"/>
      <c r="V23" s="9"/>
      <c r="W23" s="9"/>
      <c r="X23" s="9"/>
      <c r="Y23" s="9"/>
      <c r="Z23" s="9"/>
    </row>
    <row r="24" ht="45.0" customHeight="1">
      <c r="A24" s="15" t="s">
        <v>242</v>
      </c>
      <c r="B24" s="15" t="s">
        <v>243</v>
      </c>
      <c r="C24" s="15" t="s">
        <v>245</v>
      </c>
      <c r="D24" s="15" t="s">
        <v>247</v>
      </c>
      <c r="E24" s="15"/>
      <c r="F24" s="13" t="str">
        <f t="shared" si="1"/>
        <v>Deriva requisito</v>
      </c>
      <c r="G24" s="15" t="s">
        <v>249</v>
      </c>
      <c r="H24" s="15" t="s">
        <v>250</v>
      </c>
      <c r="I24" s="9"/>
      <c r="J24" s="9"/>
      <c r="K24" s="9"/>
      <c r="L24" s="9"/>
      <c r="M24" s="9"/>
      <c r="N24" s="9"/>
      <c r="O24" s="9"/>
      <c r="P24" s="9"/>
      <c r="Q24" s="9"/>
      <c r="R24" s="9"/>
      <c r="S24" s="9"/>
      <c r="T24" s="9"/>
      <c r="U24" s="9"/>
      <c r="V24" s="9"/>
      <c r="W24" s="9"/>
      <c r="X24" s="9"/>
      <c r="Y24" s="9"/>
      <c r="Z24" s="9"/>
    </row>
    <row r="25" ht="45.0" customHeight="1">
      <c r="A25" s="12" t="s">
        <v>254</v>
      </c>
      <c r="B25" s="12" t="s">
        <v>255</v>
      </c>
      <c r="C25" s="12" t="s">
        <v>256</v>
      </c>
      <c r="D25" s="12"/>
      <c r="E25" s="12" t="s">
        <v>257</v>
      </c>
      <c r="F25" s="13" t="str">
        <f t="shared" si="1"/>
        <v>Sin requisito, justificado</v>
      </c>
      <c r="G25" s="12"/>
      <c r="H25" s="12"/>
      <c r="I25" s="9"/>
      <c r="J25" s="9"/>
      <c r="K25" s="9"/>
      <c r="L25" s="9"/>
      <c r="M25" s="9"/>
      <c r="N25" s="9"/>
      <c r="O25" s="9"/>
      <c r="P25" s="9"/>
      <c r="Q25" s="9"/>
      <c r="R25" s="9"/>
      <c r="S25" s="9"/>
      <c r="T25" s="9"/>
      <c r="U25" s="9"/>
      <c r="V25" s="9"/>
      <c r="W25" s="9"/>
      <c r="X25" s="9"/>
      <c r="Y25" s="9"/>
      <c r="Z25" s="9"/>
    </row>
    <row r="26" ht="33.75" customHeight="1">
      <c r="A26" s="21"/>
      <c r="B26" s="21"/>
      <c r="C26" s="21"/>
      <c r="D26" s="21"/>
      <c r="E26" s="21"/>
      <c r="F26" s="22" t="str">
        <f t="shared" si="1"/>
        <v/>
      </c>
      <c r="G26" s="3"/>
      <c r="H26" s="3"/>
      <c r="I26" s="3"/>
      <c r="J26" s="3"/>
      <c r="K26" s="3"/>
      <c r="L26" s="3"/>
      <c r="M26" s="3"/>
      <c r="N26" s="3"/>
      <c r="O26" s="3"/>
      <c r="P26" s="3"/>
      <c r="Q26" s="3"/>
      <c r="R26" s="3"/>
      <c r="S26" s="3"/>
      <c r="T26" s="3"/>
      <c r="U26" s="3"/>
      <c r="V26" s="3"/>
      <c r="W26" s="3"/>
      <c r="X26" s="3"/>
      <c r="Y26" s="3"/>
      <c r="Z26" s="3"/>
    </row>
    <row r="27" ht="33.75" customHeight="1">
      <c r="A27" s="23"/>
      <c r="B27" s="23"/>
      <c r="C27" s="23"/>
      <c r="D27" s="23"/>
      <c r="E27" s="23"/>
      <c r="F27" s="22" t="str">
        <f t="shared" si="1"/>
        <v/>
      </c>
      <c r="G27" s="3"/>
      <c r="H27" s="3"/>
      <c r="I27" s="3"/>
      <c r="J27" s="3"/>
      <c r="K27" s="3"/>
      <c r="L27" s="3"/>
      <c r="M27" s="3"/>
      <c r="N27" s="3"/>
      <c r="O27" s="3"/>
      <c r="P27" s="3"/>
      <c r="Q27" s="3"/>
      <c r="R27" s="3"/>
      <c r="S27" s="3"/>
      <c r="T27" s="3"/>
      <c r="U27" s="3"/>
      <c r="V27" s="3"/>
      <c r="W27" s="3"/>
      <c r="X27" s="3"/>
      <c r="Y27" s="3"/>
      <c r="Z27" s="3"/>
    </row>
    <row r="28" ht="33.75" customHeight="1">
      <c r="A28" s="21"/>
      <c r="B28" s="21"/>
      <c r="C28" s="21"/>
      <c r="D28" s="21"/>
      <c r="E28" s="21"/>
      <c r="F28" s="22" t="str">
        <f t="shared" si="1"/>
        <v/>
      </c>
      <c r="G28" s="3"/>
      <c r="H28" s="3"/>
      <c r="I28" s="3"/>
      <c r="J28" s="3"/>
      <c r="K28" s="3"/>
      <c r="L28" s="3"/>
      <c r="M28" s="3"/>
      <c r="N28" s="3"/>
      <c r="O28" s="3"/>
      <c r="P28" s="3"/>
      <c r="Q28" s="3"/>
      <c r="R28" s="3"/>
      <c r="S28" s="3"/>
      <c r="T28" s="3"/>
      <c r="U28" s="3"/>
      <c r="V28" s="3"/>
      <c r="W28" s="3"/>
      <c r="X28" s="3"/>
      <c r="Y28" s="3"/>
      <c r="Z28" s="3"/>
    </row>
    <row r="29" ht="33.75" customHeight="1">
      <c r="A29" s="23"/>
      <c r="B29" s="23"/>
      <c r="C29" s="23"/>
      <c r="D29" s="23"/>
      <c r="E29" s="23"/>
      <c r="F29" s="22" t="str">
        <f t="shared" si="1"/>
        <v/>
      </c>
      <c r="G29" s="3"/>
      <c r="H29" s="3"/>
      <c r="I29" s="3"/>
      <c r="J29" s="3"/>
      <c r="K29" s="3"/>
      <c r="L29" s="3"/>
      <c r="M29" s="3"/>
      <c r="N29" s="3"/>
      <c r="O29" s="3"/>
      <c r="P29" s="3"/>
      <c r="Q29" s="3"/>
      <c r="R29" s="3"/>
      <c r="S29" s="3"/>
      <c r="T29" s="3"/>
      <c r="U29" s="3"/>
      <c r="V29" s="3"/>
      <c r="W29" s="3"/>
      <c r="X29" s="3"/>
      <c r="Y29" s="3"/>
      <c r="Z29" s="3"/>
    </row>
    <row r="30" ht="33.75" customHeight="1">
      <c r="A30" s="21"/>
      <c r="B30" s="21"/>
      <c r="C30" s="21"/>
      <c r="D30" s="21"/>
      <c r="E30" s="21"/>
      <c r="F30" s="22" t="str">
        <f t="shared" si="1"/>
        <v/>
      </c>
      <c r="G30" s="3"/>
      <c r="H30" s="3"/>
      <c r="I30" s="3"/>
      <c r="J30" s="3"/>
      <c r="K30" s="3"/>
      <c r="L30" s="3"/>
      <c r="M30" s="3"/>
      <c r="N30" s="3"/>
      <c r="O30" s="3"/>
      <c r="P30" s="3"/>
      <c r="Q30" s="3"/>
      <c r="R30" s="3"/>
      <c r="S30" s="3"/>
      <c r="T30" s="3"/>
      <c r="U30" s="3"/>
      <c r="V30" s="3"/>
      <c r="W30" s="3"/>
      <c r="X30" s="3"/>
      <c r="Y30" s="3"/>
      <c r="Z30" s="3"/>
    </row>
    <row r="31" ht="33.75" customHeight="1">
      <c r="A31" s="23"/>
      <c r="B31" s="23"/>
      <c r="C31" s="23"/>
      <c r="D31" s="23"/>
      <c r="E31" s="23"/>
      <c r="F31" s="22" t="str">
        <f t="shared" si="1"/>
        <v/>
      </c>
      <c r="G31" s="3"/>
      <c r="H31" s="3"/>
      <c r="I31" s="3"/>
      <c r="J31" s="3"/>
      <c r="K31" s="3"/>
      <c r="L31" s="3"/>
      <c r="M31" s="3"/>
      <c r="N31" s="3"/>
      <c r="O31" s="3"/>
      <c r="P31" s="3"/>
      <c r="Q31" s="3"/>
      <c r="R31" s="3"/>
      <c r="S31" s="3"/>
      <c r="T31" s="3"/>
      <c r="U31" s="3"/>
      <c r="V31" s="3"/>
      <c r="W31" s="3"/>
      <c r="X31" s="3"/>
      <c r="Y31" s="3"/>
      <c r="Z31" s="3"/>
    </row>
    <row r="32" ht="33.75" customHeight="1">
      <c r="A32" s="21"/>
      <c r="B32" s="21"/>
      <c r="C32" s="21"/>
      <c r="D32" s="21"/>
      <c r="E32" s="21"/>
      <c r="F32" s="22" t="str">
        <f t="shared" si="1"/>
        <v/>
      </c>
      <c r="G32" s="3"/>
      <c r="H32" s="3"/>
      <c r="I32" s="3"/>
      <c r="J32" s="3"/>
      <c r="K32" s="3"/>
      <c r="L32" s="3"/>
      <c r="M32" s="3"/>
      <c r="N32" s="3"/>
      <c r="O32" s="3"/>
      <c r="P32" s="3"/>
      <c r="Q32" s="3"/>
      <c r="R32" s="3"/>
      <c r="S32" s="3"/>
      <c r="T32" s="3"/>
      <c r="U32" s="3"/>
      <c r="V32" s="3"/>
      <c r="W32" s="3"/>
      <c r="X32" s="3"/>
      <c r="Y32" s="3"/>
      <c r="Z32" s="3"/>
    </row>
    <row r="33" ht="33.75" customHeight="1">
      <c r="A33" s="23"/>
      <c r="B33" s="23"/>
      <c r="C33" s="23"/>
      <c r="D33" s="23"/>
      <c r="E33" s="23"/>
      <c r="F33" s="22" t="str">
        <f t="shared" si="1"/>
        <v/>
      </c>
      <c r="G33" s="3"/>
      <c r="H33" s="3"/>
      <c r="I33" s="3"/>
      <c r="J33" s="3"/>
      <c r="K33" s="3"/>
      <c r="L33" s="3"/>
      <c r="M33" s="3"/>
      <c r="N33" s="3"/>
      <c r="O33" s="3"/>
      <c r="P33" s="3"/>
      <c r="Q33" s="3"/>
      <c r="R33" s="3"/>
      <c r="S33" s="3"/>
      <c r="T33" s="3"/>
      <c r="U33" s="3"/>
      <c r="V33" s="3"/>
      <c r="W33" s="3"/>
      <c r="X33" s="3"/>
      <c r="Y33" s="3"/>
      <c r="Z33" s="3"/>
    </row>
    <row r="34" ht="33.75" customHeight="1">
      <c r="A34" s="21"/>
      <c r="B34" s="21"/>
      <c r="C34" s="21"/>
      <c r="D34" s="21"/>
      <c r="E34" s="21"/>
      <c r="F34" s="22" t="str">
        <f t="shared" si="1"/>
        <v/>
      </c>
      <c r="G34" s="3"/>
      <c r="H34" s="3"/>
      <c r="I34" s="3"/>
      <c r="J34" s="3"/>
      <c r="K34" s="3"/>
      <c r="L34" s="3"/>
      <c r="M34" s="3"/>
      <c r="N34" s="3"/>
      <c r="O34" s="3"/>
      <c r="P34" s="3"/>
      <c r="Q34" s="3"/>
      <c r="R34" s="3"/>
      <c r="S34" s="3"/>
      <c r="T34" s="3"/>
      <c r="U34" s="3"/>
      <c r="V34" s="3"/>
      <c r="W34" s="3"/>
      <c r="X34" s="3"/>
      <c r="Y34" s="3"/>
      <c r="Z34" s="3"/>
    </row>
    <row r="35" ht="33.75" customHeight="1">
      <c r="A35" s="23"/>
      <c r="B35" s="23"/>
      <c r="C35" s="23"/>
      <c r="D35" s="23"/>
      <c r="E35" s="23"/>
      <c r="F35" s="22" t="str">
        <f t="shared" si="1"/>
        <v/>
      </c>
      <c r="G35" s="3"/>
      <c r="H35" s="3"/>
      <c r="I35" s="3"/>
      <c r="J35" s="3"/>
      <c r="K35" s="3"/>
      <c r="L35" s="3"/>
      <c r="M35" s="3"/>
      <c r="N35" s="3"/>
      <c r="O35" s="3"/>
      <c r="P35" s="3"/>
      <c r="Q35" s="3"/>
      <c r="R35" s="3"/>
      <c r="S35" s="3"/>
      <c r="T35" s="3"/>
      <c r="U35" s="3"/>
      <c r="V35" s="3"/>
      <c r="W35" s="3"/>
      <c r="X35" s="3"/>
      <c r="Y35" s="3"/>
      <c r="Z35" s="3"/>
    </row>
    <row r="36" ht="33.75" customHeight="1">
      <c r="A36" s="21"/>
      <c r="B36" s="21"/>
      <c r="C36" s="21"/>
      <c r="D36" s="21"/>
      <c r="E36" s="21"/>
      <c r="F36" s="22" t="str">
        <f t="shared" si="1"/>
        <v/>
      </c>
      <c r="G36" s="3"/>
      <c r="H36" s="3"/>
      <c r="I36" s="3"/>
      <c r="J36" s="3"/>
      <c r="K36" s="3"/>
      <c r="L36" s="3"/>
      <c r="M36" s="3"/>
      <c r="N36" s="3"/>
      <c r="O36" s="3"/>
      <c r="P36" s="3"/>
      <c r="Q36" s="3"/>
      <c r="R36" s="3"/>
      <c r="S36" s="3"/>
      <c r="T36" s="3"/>
      <c r="U36" s="3"/>
      <c r="V36" s="3"/>
      <c r="W36" s="3"/>
      <c r="X36" s="3"/>
      <c r="Y36" s="3"/>
      <c r="Z36" s="3"/>
    </row>
    <row r="37" ht="33.75" customHeight="1">
      <c r="A37" s="23"/>
      <c r="B37" s="23"/>
      <c r="C37" s="23"/>
      <c r="D37" s="23"/>
      <c r="E37" s="23"/>
      <c r="F37" s="22" t="str">
        <f t="shared" si="1"/>
        <v/>
      </c>
      <c r="G37" s="3"/>
      <c r="H37" s="3"/>
      <c r="I37" s="3"/>
      <c r="J37" s="3"/>
      <c r="K37" s="3"/>
      <c r="L37" s="3"/>
      <c r="M37" s="3"/>
      <c r="N37" s="3"/>
      <c r="O37" s="3"/>
      <c r="P37" s="3"/>
      <c r="Q37" s="3"/>
      <c r="R37" s="3"/>
      <c r="S37" s="3"/>
      <c r="T37" s="3"/>
      <c r="U37" s="3"/>
      <c r="V37" s="3"/>
      <c r="W37" s="3"/>
      <c r="X37" s="3"/>
      <c r="Y37" s="3"/>
      <c r="Z37" s="3"/>
    </row>
    <row r="38" ht="33.75" customHeight="1">
      <c r="A38" s="21"/>
      <c r="B38" s="21"/>
      <c r="C38" s="21"/>
      <c r="D38" s="21"/>
      <c r="E38" s="21"/>
      <c r="F38" s="22" t="str">
        <f t="shared" si="1"/>
        <v/>
      </c>
      <c r="G38" s="3"/>
      <c r="H38" s="3"/>
      <c r="I38" s="3"/>
      <c r="J38" s="3"/>
      <c r="K38" s="3"/>
      <c r="L38" s="3"/>
      <c r="M38" s="3"/>
      <c r="N38" s="3"/>
      <c r="O38" s="3"/>
      <c r="P38" s="3"/>
      <c r="Q38" s="3"/>
      <c r="R38" s="3"/>
      <c r="S38" s="3"/>
      <c r="T38" s="3"/>
      <c r="U38" s="3"/>
      <c r="V38" s="3"/>
      <c r="W38" s="3"/>
      <c r="X38" s="3"/>
      <c r="Y38" s="3"/>
      <c r="Z38" s="3"/>
    </row>
    <row r="39" ht="33.75" customHeight="1">
      <c r="A39" s="23"/>
      <c r="B39" s="23"/>
      <c r="C39" s="23"/>
      <c r="D39" s="23"/>
      <c r="E39" s="23"/>
      <c r="F39" s="22" t="str">
        <f t="shared" si="1"/>
        <v/>
      </c>
      <c r="G39" s="3"/>
      <c r="H39" s="3"/>
      <c r="I39" s="3"/>
      <c r="J39" s="3"/>
      <c r="K39" s="3"/>
      <c r="L39" s="3"/>
      <c r="M39" s="3"/>
      <c r="N39" s="3"/>
      <c r="O39" s="3"/>
      <c r="P39" s="3"/>
      <c r="Q39" s="3"/>
      <c r="R39" s="3"/>
      <c r="S39" s="3"/>
      <c r="T39" s="3"/>
      <c r="U39" s="3"/>
      <c r="V39" s="3"/>
      <c r="W39" s="3"/>
      <c r="X39" s="3"/>
      <c r="Y39" s="3"/>
      <c r="Z39" s="3"/>
    </row>
    <row r="40" ht="33.75" customHeight="1">
      <c r="A40" s="21"/>
      <c r="B40" s="21"/>
      <c r="C40" s="21"/>
      <c r="D40" s="21"/>
      <c r="E40" s="21"/>
      <c r="F40" s="22" t="str">
        <f t="shared" si="1"/>
        <v/>
      </c>
      <c r="G40" s="3"/>
      <c r="H40" s="3"/>
      <c r="I40" s="3"/>
      <c r="J40" s="3"/>
      <c r="K40" s="3"/>
      <c r="L40" s="3"/>
      <c r="M40" s="3"/>
      <c r="N40" s="3"/>
      <c r="O40" s="3"/>
      <c r="P40" s="3"/>
      <c r="Q40" s="3"/>
      <c r="R40" s="3"/>
      <c r="S40" s="3"/>
      <c r="T40" s="3"/>
      <c r="U40" s="3"/>
      <c r="V40" s="3"/>
      <c r="W40" s="3"/>
      <c r="X40" s="3"/>
      <c r="Y40" s="3"/>
      <c r="Z40" s="3"/>
    </row>
    <row r="41" ht="33.75" customHeight="1">
      <c r="A41" s="23"/>
      <c r="B41" s="23"/>
      <c r="C41" s="23"/>
      <c r="D41" s="23"/>
      <c r="E41" s="23"/>
      <c r="F41" s="22" t="str">
        <f t="shared" si="1"/>
        <v/>
      </c>
      <c r="G41" s="3"/>
      <c r="H41" s="3"/>
      <c r="I41" s="3"/>
      <c r="J41" s="3"/>
      <c r="K41" s="3"/>
      <c r="L41" s="3"/>
      <c r="M41" s="3"/>
      <c r="N41" s="3"/>
      <c r="O41" s="3"/>
      <c r="P41" s="3"/>
      <c r="Q41" s="3"/>
      <c r="R41" s="3"/>
      <c r="S41" s="3"/>
      <c r="T41" s="3"/>
      <c r="U41" s="3"/>
      <c r="V41" s="3"/>
      <c r="W41" s="3"/>
      <c r="X41" s="3"/>
      <c r="Y41" s="3"/>
      <c r="Z41" s="3"/>
    </row>
    <row r="42" ht="33.75" customHeight="1">
      <c r="A42" s="21"/>
      <c r="B42" s="21"/>
      <c r="C42" s="21"/>
      <c r="D42" s="21"/>
      <c r="E42" s="21"/>
      <c r="F42" s="22" t="str">
        <f t="shared" si="1"/>
        <v/>
      </c>
      <c r="G42" s="3"/>
      <c r="H42" s="3"/>
      <c r="I42" s="3"/>
      <c r="J42" s="3"/>
      <c r="K42" s="3"/>
      <c r="L42" s="3"/>
      <c r="M42" s="3"/>
      <c r="N42" s="3"/>
      <c r="O42" s="3"/>
      <c r="P42" s="3"/>
      <c r="Q42" s="3"/>
      <c r="R42" s="3"/>
      <c r="S42" s="3"/>
      <c r="T42" s="3"/>
      <c r="U42" s="3"/>
      <c r="V42" s="3"/>
      <c r="W42" s="3"/>
      <c r="X42" s="3"/>
      <c r="Y42" s="3"/>
      <c r="Z42" s="3"/>
    </row>
    <row r="43" ht="33.75" customHeight="1">
      <c r="A43" s="23"/>
      <c r="B43" s="23"/>
      <c r="C43" s="23"/>
      <c r="D43" s="23"/>
      <c r="E43" s="23"/>
      <c r="F43" s="22" t="str">
        <f t="shared" si="1"/>
        <v/>
      </c>
      <c r="G43" s="3"/>
      <c r="H43" s="3"/>
      <c r="I43" s="3"/>
      <c r="J43" s="3"/>
      <c r="K43" s="3"/>
      <c r="L43" s="3"/>
      <c r="M43" s="3"/>
      <c r="N43" s="3"/>
      <c r="O43" s="3"/>
      <c r="P43" s="3"/>
      <c r="Q43" s="3"/>
      <c r="R43" s="3"/>
      <c r="S43" s="3"/>
      <c r="T43" s="3"/>
      <c r="U43" s="3"/>
      <c r="V43" s="3"/>
      <c r="W43" s="3"/>
      <c r="X43" s="3"/>
      <c r="Y43" s="3"/>
      <c r="Z43" s="3"/>
    </row>
    <row r="44" ht="33.75" customHeight="1">
      <c r="A44" s="21"/>
      <c r="B44" s="21"/>
      <c r="C44" s="21"/>
      <c r="D44" s="21"/>
      <c r="E44" s="21"/>
      <c r="F44" s="22" t="str">
        <f t="shared" si="1"/>
        <v/>
      </c>
      <c r="G44" s="3"/>
      <c r="H44" s="3"/>
      <c r="I44" s="3"/>
      <c r="J44" s="3"/>
      <c r="K44" s="3"/>
      <c r="L44" s="3"/>
      <c r="M44" s="3"/>
      <c r="N44" s="3"/>
      <c r="O44" s="3"/>
      <c r="P44" s="3"/>
      <c r="Q44" s="3"/>
      <c r="R44" s="3"/>
      <c r="S44" s="3"/>
      <c r="T44" s="3"/>
      <c r="U44" s="3"/>
      <c r="V44" s="3"/>
      <c r="W44" s="3"/>
      <c r="X44" s="3"/>
      <c r="Y44" s="3"/>
      <c r="Z44" s="3"/>
    </row>
    <row r="45" ht="33.75" customHeight="1">
      <c r="A45" s="23"/>
      <c r="B45" s="23"/>
      <c r="C45" s="23"/>
      <c r="D45" s="23"/>
      <c r="E45" s="23"/>
      <c r="F45" s="22" t="str">
        <f t="shared" si="1"/>
        <v/>
      </c>
      <c r="G45" s="3"/>
      <c r="H45" s="3"/>
      <c r="I45" s="3"/>
      <c r="J45" s="3"/>
      <c r="K45" s="3"/>
      <c r="L45" s="3"/>
      <c r="M45" s="3"/>
      <c r="N45" s="3"/>
      <c r="O45" s="3"/>
      <c r="P45" s="3"/>
      <c r="Q45" s="3"/>
      <c r="R45" s="3"/>
      <c r="S45" s="3"/>
      <c r="T45" s="3"/>
      <c r="U45" s="3"/>
      <c r="V45" s="3"/>
      <c r="W45" s="3"/>
      <c r="X45" s="3"/>
      <c r="Y45" s="3"/>
      <c r="Z45" s="3"/>
    </row>
    <row r="46" ht="33.75" customHeight="1">
      <c r="A46" s="21"/>
      <c r="B46" s="21"/>
      <c r="C46" s="21"/>
      <c r="D46" s="21"/>
      <c r="E46" s="21"/>
      <c r="F46" s="22" t="str">
        <f t="shared" si="1"/>
        <v/>
      </c>
      <c r="G46" s="3"/>
      <c r="H46" s="3"/>
      <c r="I46" s="3"/>
      <c r="J46" s="3"/>
      <c r="K46" s="3"/>
      <c r="L46" s="3"/>
      <c r="M46" s="3"/>
      <c r="N46" s="3"/>
      <c r="O46" s="3"/>
      <c r="P46" s="3"/>
      <c r="Q46" s="3"/>
      <c r="R46" s="3"/>
      <c r="S46" s="3"/>
      <c r="T46" s="3"/>
      <c r="U46" s="3"/>
      <c r="V46" s="3"/>
      <c r="W46" s="3"/>
      <c r="X46" s="3"/>
      <c r="Y46" s="3"/>
      <c r="Z46" s="3"/>
    </row>
    <row r="47" ht="33.75" customHeight="1">
      <c r="A47" s="23"/>
      <c r="B47" s="23"/>
      <c r="C47" s="23"/>
      <c r="D47" s="23"/>
      <c r="E47" s="23"/>
      <c r="F47" s="22" t="str">
        <f t="shared" si="1"/>
        <v/>
      </c>
      <c r="G47" s="3"/>
      <c r="H47" s="3"/>
      <c r="I47" s="3"/>
      <c r="J47" s="3"/>
      <c r="K47" s="3"/>
      <c r="L47" s="3"/>
      <c r="M47" s="3"/>
      <c r="N47" s="3"/>
      <c r="O47" s="3"/>
      <c r="P47" s="3"/>
      <c r="Q47" s="3"/>
      <c r="R47" s="3"/>
      <c r="S47" s="3"/>
      <c r="T47" s="3"/>
      <c r="U47" s="3"/>
      <c r="V47" s="3"/>
      <c r="W47" s="3"/>
      <c r="X47" s="3"/>
      <c r="Y47" s="3"/>
      <c r="Z47" s="3"/>
    </row>
    <row r="48" ht="33.75" customHeight="1">
      <c r="A48" s="21"/>
      <c r="B48" s="21"/>
      <c r="C48" s="21"/>
      <c r="D48" s="21"/>
      <c r="E48" s="21"/>
      <c r="F48" s="22" t="str">
        <f t="shared" si="1"/>
        <v/>
      </c>
      <c r="G48" s="3"/>
      <c r="H48" s="3"/>
      <c r="I48" s="3"/>
      <c r="J48" s="3"/>
      <c r="K48" s="3"/>
      <c r="L48" s="3"/>
      <c r="M48" s="3"/>
      <c r="N48" s="3"/>
      <c r="O48" s="3"/>
      <c r="P48" s="3"/>
      <c r="Q48" s="3"/>
      <c r="R48" s="3"/>
      <c r="S48" s="3"/>
      <c r="T48" s="3"/>
      <c r="U48" s="3"/>
      <c r="V48" s="3"/>
      <c r="W48" s="3"/>
      <c r="X48" s="3"/>
      <c r="Y48" s="3"/>
      <c r="Z48" s="3"/>
    </row>
    <row r="49" ht="33.75" customHeight="1">
      <c r="A49" s="23"/>
      <c r="B49" s="23"/>
      <c r="C49" s="23"/>
      <c r="D49" s="23"/>
      <c r="E49" s="23"/>
      <c r="F49" s="22" t="str">
        <f t="shared" si="1"/>
        <v/>
      </c>
      <c r="G49" s="3"/>
      <c r="H49" s="3"/>
      <c r="I49" s="3"/>
      <c r="J49" s="3"/>
      <c r="K49" s="3"/>
      <c r="L49" s="3"/>
      <c r="M49" s="3"/>
      <c r="N49" s="3"/>
      <c r="O49" s="3"/>
      <c r="P49" s="3"/>
      <c r="Q49" s="3"/>
      <c r="R49" s="3"/>
      <c r="S49" s="3"/>
      <c r="T49" s="3"/>
      <c r="U49" s="3"/>
      <c r="V49" s="3"/>
      <c r="W49" s="3"/>
      <c r="X49" s="3"/>
      <c r="Y49" s="3"/>
      <c r="Z49" s="3"/>
    </row>
    <row r="50" ht="33.75" customHeight="1">
      <c r="A50" s="21"/>
      <c r="B50" s="21"/>
      <c r="C50" s="21"/>
      <c r="D50" s="21"/>
      <c r="E50" s="21"/>
      <c r="F50" s="22" t="str">
        <f t="shared" si="1"/>
        <v/>
      </c>
      <c r="G50" s="3"/>
      <c r="H50" s="3"/>
      <c r="I50" s="3"/>
      <c r="J50" s="3"/>
      <c r="K50" s="3"/>
      <c r="L50" s="3"/>
      <c r="M50" s="3"/>
      <c r="N50" s="3"/>
      <c r="O50" s="3"/>
      <c r="P50" s="3"/>
      <c r="Q50" s="3"/>
      <c r="R50" s="3"/>
      <c r="S50" s="3"/>
      <c r="T50" s="3"/>
      <c r="U50" s="3"/>
      <c r="V50" s="3"/>
      <c r="W50" s="3"/>
      <c r="X50" s="3"/>
      <c r="Y50" s="3"/>
      <c r="Z50" s="3"/>
    </row>
    <row r="51" ht="33.75" customHeight="1">
      <c r="A51" s="23"/>
      <c r="B51" s="23"/>
      <c r="C51" s="23"/>
      <c r="D51" s="23"/>
      <c r="E51" s="23"/>
      <c r="F51" s="22" t="str">
        <f t="shared" si="1"/>
        <v/>
      </c>
      <c r="G51" s="3"/>
      <c r="H51" s="3"/>
      <c r="I51" s="3"/>
      <c r="J51" s="3"/>
      <c r="K51" s="3"/>
      <c r="L51" s="3"/>
      <c r="M51" s="3"/>
      <c r="N51" s="3"/>
      <c r="O51" s="3"/>
      <c r="P51" s="3"/>
      <c r="Q51" s="3"/>
      <c r="R51" s="3"/>
      <c r="S51" s="3"/>
      <c r="T51" s="3"/>
      <c r="U51" s="3"/>
      <c r="V51" s="3"/>
      <c r="W51" s="3"/>
      <c r="X51" s="3"/>
      <c r="Y51" s="3"/>
      <c r="Z51" s="3"/>
    </row>
    <row r="52" ht="33.75" customHeight="1">
      <c r="A52" s="21"/>
      <c r="B52" s="21"/>
      <c r="C52" s="21"/>
      <c r="D52" s="21"/>
      <c r="E52" s="21"/>
      <c r="F52" s="22" t="str">
        <f t="shared" si="1"/>
        <v/>
      </c>
      <c r="G52" s="3"/>
      <c r="H52" s="3"/>
      <c r="I52" s="3"/>
      <c r="J52" s="3"/>
      <c r="K52" s="3"/>
      <c r="L52" s="3"/>
      <c r="M52" s="3"/>
      <c r="N52" s="3"/>
      <c r="O52" s="3"/>
      <c r="P52" s="3"/>
      <c r="Q52" s="3"/>
      <c r="R52" s="3"/>
      <c r="S52" s="3"/>
      <c r="T52" s="3"/>
      <c r="U52" s="3"/>
      <c r="V52" s="3"/>
      <c r="W52" s="3"/>
      <c r="X52" s="3"/>
      <c r="Y52" s="3"/>
      <c r="Z52" s="3"/>
    </row>
    <row r="53" ht="33.75" customHeight="1">
      <c r="A53" s="23"/>
      <c r="B53" s="23"/>
      <c r="C53" s="23"/>
      <c r="D53" s="23"/>
      <c r="E53" s="23"/>
      <c r="F53" s="22" t="str">
        <f t="shared" si="1"/>
        <v/>
      </c>
      <c r="G53" s="3"/>
      <c r="H53" s="3"/>
      <c r="I53" s="3"/>
      <c r="J53" s="3"/>
      <c r="K53" s="3"/>
      <c r="L53" s="3"/>
      <c r="M53" s="3"/>
      <c r="N53" s="3"/>
      <c r="O53" s="3"/>
      <c r="P53" s="3"/>
      <c r="Q53" s="3"/>
      <c r="R53" s="3"/>
      <c r="S53" s="3"/>
      <c r="T53" s="3"/>
      <c r="U53" s="3"/>
      <c r="V53" s="3"/>
      <c r="W53" s="3"/>
      <c r="X53" s="3"/>
      <c r="Y53" s="3"/>
      <c r="Z53" s="3"/>
    </row>
    <row r="54" ht="33.75" customHeight="1">
      <c r="A54" s="21"/>
      <c r="B54" s="21"/>
      <c r="C54" s="21"/>
      <c r="D54" s="21"/>
      <c r="E54" s="21"/>
      <c r="F54" s="22" t="str">
        <f t="shared" si="1"/>
        <v/>
      </c>
      <c r="G54" s="3"/>
      <c r="H54" s="3"/>
      <c r="I54" s="3"/>
      <c r="J54" s="3"/>
      <c r="K54" s="3"/>
      <c r="L54" s="3"/>
      <c r="M54" s="3"/>
      <c r="N54" s="3"/>
      <c r="O54" s="3"/>
      <c r="P54" s="3"/>
      <c r="Q54" s="3"/>
      <c r="R54" s="3"/>
      <c r="S54" s="3"/>
      <c r="T54" s="3"/>
      <c r="U54" s="3"/>
      <c r="V54" s="3"/>
      <c r="W54" s="3"/>
      <c r="X54" s="3"/>
      <c r="Y54" s="3"/>
      <c r="Z54" s="3"/>
    </row>
    <row r="55" ht="33.75" customHeight="1">
      <c r="A55" s="23"/>
      <c r="B55" s="23"/>
      <c r="C55" s="23"/>
      <c r="D55" s="23"/>
      <c r="E55" s="23"/>
      <c r="F55" s="22" t="str">
        <f t="shared" si="1"/>
        <v/>
      </c>
      <c r="G55" s="3"/>
      <c r="H55" s="3"/>
      <c r="I55" s="3"/>
      <c r="J55" s="3"/>
      <c r="K55" s="3"/>
      <c r="L55" s="3"/>
      <c r="M55" s="3"/>
      <c r="N55" s="3"/>
      <c r="O55" s="3"/>
      <c r="P55" s="3"/>
      <c r="Q55" s="3"/>
      <c r="R55" s="3"/>
      <c r="S55" s="3"/>
      <c r="T55" s="3"/>
      <c r="U55" s="3"/>
      <c r="V55" s="3"/>
      <c r="W55" s="3"/>
      <c r="X55" s="3"/>
      <c r="Y55" s="3"/>
      <c r="Z55" s="3"/>
    </row>
    <row r="56" ht="33.75" customHeight="1">
      <c r="A56" s="21"/>
      <c r="B56" s="21"/>
      <c r="C56" s="21"/>
      <c r="D56" s="21"/>
      <c r="E56" s="21"/>
      <c r="F56" s="22" t="str">
        <f t="shared" si="1"/>
        <v/>
      </c>
      <c r="G56" s="3"/>
      <c r="H56" s="3"/>
      <c r="I56" s="3"/>
      <c r="J56" s="3"/>
      <c r="K56" s="3"/>
      <c r="L56" s="3"/>
      <c r="M56" s="3"/>
      <c r="N56" s="3"/>
      <c r="O56" s="3"/>
      <c r="P56" s="3"/>
      <c r="Q56" s="3"/>
      <c r="R56" s="3"/>
      <c r="S56" s="3"/>
      <c r="T56" s="3"/>
      <c r="U56" s="3"/>
      <c r="V56" s="3"/>
      <c r="W56" s="3"/>
      <c r="X56" s="3"/>
      <c r="Y56" s="3"/>
      <c r="Z56" s="3"/>
    </row>
    <row r="57" ht="33.75" customHeight="1">
      <c r="A57" s="23"/>
      <c r="B57" s="23"/>
      <c r="C57" s="23"/>
      <c r="D57" s="23"/>
      <c r="E57" s="23"/>
      <c r="F57" s="22" t="str">
        <f t="shared" si="1"/>
        <v/>
      </c>
      <c r="G57" s="3"/>
      <c r="H57" s="3"/>
      <c r="I57" s="3"/>
      <c r="J57" s="3"/>
      <c r="K57" s="3"/>
      <c r="L57" s="3"/>
      <c r="M57" s="3"/>
      <c r="N57" s="3"/>
      <c r="O57" s="3"/>
      <c r="P57" s="3"/>
      <c r="Q57" s="3"/>
      <c r="R57" s="3"/>
      <c r="S57" s="3"/>
      <c r="T57" s="3"/>
      <c r="U57" s="3"/>
      <c r="V57" s="3"/>
      <c r="W57" s="3"/>
      <c r="X57" s="3"/>
      <c r="Y57" s="3"/>
      <c r="Z57" s="3"/>
    </row>
    <row r="58" ht="33.75" customHeight="1">
      <c r="A58" s="21"/>
      <c r="B58" s="21"/>
      <c r="C58" s="21"/>
      <c r="D58" s="21"/>
      <c r="E58" s="21"/>
      <c r="F58" s="22" t="str">
        <f t="shared" si="1"/>
        <v/>
      </c>
      <c r="G58" s="3"/>
      <c r="H58" s="3"/>
      <c r="I58" s="3"/>
      <c r="J58" s="3"/>
      <c r="K58" s="3"/>
      <c r="L58" s="3"/>
      <c r="M58" s="3"/>
      <c r="N58" s="3"/>
      <c r="O58" s="3"/>
      <c r="P58" s="3"/>
      <c r="Q58" s="3"/>
      <c r="R58" s="3"/>
      <c r="S58" s="3"/>
      <c r="T58" s="3"/>
      <c r="U58" s="3"/>
      <c r="V58" s="3"/>
      <c r="W58" s="3"/>
      <c r="X58" s="3"/>
      <c r="Y58" s="3"/>
      <c r="Z58" s="3"/>
    </row>
    <row r="59" ht="33.75" customHeight="1">
      <c r="A59" s="23"/>
      <c r="B59" s="23"/>
      <c r="C59" s="23"/>
      <c r="D59" s="23"/>
      <c r="E59" s="23"/>
      <c r="F59" s="22" t="str">
        <f t="shared" si="1"/>
        <v/>
      </c>
      <c r="G59" s="3"/>
      <c r="H59" s="3"/>
      <c r="I59" s="3"/>
      <c r="J59" s="3"/>
      <c r="K59" s="3"/>
      <c r="L59" s="3"/>
      <c r="M59" s="3"/>
      <c r="N59" s="3"/>
      <c r="O59" s="3"/>
      <c r="P59" s="3"/>
      <c r="Q59" s="3"/>
      <c r="R59" s="3"/>
      <c r="S59" s="3"/>
      <c r="T59" s="3"/>
      <c r="U59" s="3"/>
      <c r="V59" s="3"/>
      <c r="W59" s="3"/>
      <c r="X59" s="3"/>
      <c r="Y59" s="3"/>
      <c r="Z59" s="3"/>
    </row>
    <row r="60" ht="33.75" customHeight="1">
      <c r="A60" s="21"/>
      <c r="B60" s="21"/>
      <c r="C60" s="21"/>
      <c r="D60" s="21"/>
      <c r="E60" s="21"/>
      <c r="F60" s="22" t="str">
        <f t="shared" si="1"/>
        <v/>
      </c>
      <c r="G60" s="3"/>
      <c r="H60" s="3"/>
      <c r="I60" s="3"/>
      <c r="J60" s="3"/>
      <c r="K60" s="3"/>
      <c r="L60" s="3"/>
      <c r="M60" s="3"/>
      <c r="N60" s="3"/>
      <c r="O60" s="3"/>
      <c r="P60" s="3"/>
      <c r="Q60" s="3"/>
      <c r="R60" s="3"/>
      <c r="S60" s="3"/>
      <c r="T60" s="3"/>
      <c r="U60" s="3"/>
      <c r="V60" s="3"/>
      <c r="W60" s="3"/>
      <c r="X60" s="3"/>
      <c r="Y60" s="3"/>
      <c r="Z60" s="3"/>
    </row>
    <row r="61" ht="33.75" customHeight="1">
      <c r="A61" s="23"/>
      <c r="B61" s="23"/>
      <c r="C61" s="23"/>
      <c r="D61" s="23"/>
      <c r="E61" s="23"/>
      <c r="F61" s="22" t="str">
        <f t="shared" si="1"/>
        <v/>
      </c>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2" t="s">
        <v>386</v>
      </c>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7" t="s">
        <v>389</v>
      </c>
      <c r="B64" s="7" t="s">
        <v>391</v>
      </c>
      <c r="C64" s="7" t="s">
        <v>392</v>
      </c>
      <c r="D64" s="3"/>
      <c r="E64" s="3"/>
      <c r="F64" s="3"/>
      <c r="G64" s="3"/>
      <c r="H64" s="3"/>
      <c r="I64" s="3"/>
      <c r="J64" s="3"/>
      <c r="K64" s="3"/>
      <c r="L64" s="3"/>
      <c r="M64" s="3"/>
      <c r="N64" s="3"/>
      <c r="O64" s="3"/>
      <c r="P64" s="3"/>
      <c r="Q64" s="3"/>
      <c r="R64" s="3"/>
      <c r="S64" s="3"/>
      <c r="T64" s="3"/>
      <c r="U64" s="3"/>
      <c r="V64" s="3"/>
      <c r="W64" s="3"/>
      <c r="X64" s="3"/>
      <c r="Y64" s="3"/>
      <c r="Z64" s="3"/>
    </row>
    <row r="65" ht="48.0" customHeight="1">
      <c r="A65" s="12" t="s">
        <v>32</v>
      </c>
      <c r="B65" s="12" t="s">
        <v>394</v>
      </c>
      <c r="C65" s="12" t="s">
        <v>396</v>
      </c>
      <c r="D65" s="3"/>
      <c r="E65" s="3"/>
      <c r="F65" s="3"/>
      <c r="G65" s="3"/>
      <c r="H65" s="3"/>
      <c r="I65" s="3"/>
      <c r="J65" s="3"/>
      <c r="K65" s="3"/>
      <c r="L65" s="3"/>
      <c r="M65" s="3"/>
      <c r="N65" s="3"/>
      <c r="O65" s="3"/>
      <c r="P65" s="3"/>
      <c r="Q65" s="3"/>
      <c r="R65" s="3"/>
      <c r="S65" s="3"/>
      <c r="T65" s="3"/>
      <c r="U65" s="3"/>
      <c r="V65" s="3"/>
      <c r="W65" s="3"/>
      <c r="X65" s="3"/>
      <c r="Y65" s="3"/>
      <c r="Z65" s="3"/>
    </row>
    <row r="66" ht="48.0" customHeight="1">
      <c r="A66" s="12" t="s">
        <v>77</v>
      </c>
      <c r="B66" s="12" t="s">
        <v>400</v>
      </c>
      <c r="C66" s="12" t="s">
        <v>401</v>
      </c>
      <c r="D66" s="3"/>
      <c r="E66" s="3"/>
      <c r="F66" s="3"/>
      <c r="G66" s="3"/>
      <c r="H66" s="3"/>
      <c r="I66" s="3"/>
      <c r="J66" s="3"/>
      <c r="K66" s="3"/>
      <c r="L66" s="3"/>
      <c r="M66" s="3"/>
      <c r="N66" s="3"/>
      <c r="O66" s="3"/>
      <c r="P66" s="3"/>
      <c r="Q66" s="3"/>
      <c r="R66" s="3"/>
      <c r="S66" s="3"/>
      <c r="T66" s="3"/>
      <c r="U66" s="3"/>
      <c r="V66" s="3"/>
      <c r="W66" s="3"/>
      <c r="X66" s="3"/>
      <c r="Y66" s="3"/>
      <c r="Z66" s="3"/>
    </row>
    <row r="67" ht="48.0" customHeight="1">
      <c r="A67" s="12" t="s">
        <v>97</v>
      </c>
      <c r="B67" s="12" t="s">
        <v>402</v>
      </c>
      <c r="C67" s="12" t="s">
        <v>403</v>
      </c>
      <c r="D67" s="3"/>
      <c r="E67" s="3"/>
      <c r="F67" s="3"/>
      <c r="G67" s="3"/>
      <c r="H67" s="3"/>
      <c r="I67" s="3"/>
      <c r="J67" s="3"/>
      <c r="K67" s="3"/>
      <c r="L67" s="3"/>
      <c r="M67" s="3"/>
      <c r="N67" s="3"/>
      <c r="O67" s="3"/>
      <c r="P67" s="3"/>
      <c r="Q67" s="3"/>
      <c r="R67" s="3"/>
      <c r="S67" s="3"/>
      <c r="T67" s="3"/>
      <c r="U67" s="3"/>
      <c r="V67" s="3"/>
      <c r="W67" s="3"/>
      <c r="X67" s="3"/>
      <c r="Y67" s="3"/>
      <c r="Z67" s="3"/>
    </row>
    <row r="68" ht="48.0" customHeight="1">
      <c r="A68" s="12" t="s">
        <v>116</v>
      </c>
      <c r="B68" s="12" t="s">
        <v>406</v>
      </c>
      <c r="C68" s="12" t="s">
        <v>407</v>
      </c>
      <c r="D68" s="3"/>
      <c r="E68" s="3"/>
      <c r="F68" s="3"/>
      <c r="G68" s="3"/>
      <c r="H68" s="3"/>
      <c r="I68" s="3"/>
      <c r="J68" s="3"/>
      <c r="K68" s="3"/>
      <c r="L68" s="3"/>
      <c r="M68" s="3"/>
      <c r="N68" s="3"/>
      <c r="O68" s="3"/>
      <c r="P68" s="3"/>
      <c r="Q68" s="3"/>
      <c r="R68" s="3"/>
      <c r="S68" s="3"/>
      <c r="T68" s="3"/>
      <c r="U68" s="3"/>
      <c r="V68" s="3"/>
      <c r="W68" s="3"/>
      <c r="X68" s="3"/>
      <c r="Y68" s="3"/>
      <c r="Z68" s="3"/>
    </row>
    <row r="69" ht="48.0" customHeight="1">
      <c r="A69" s="12" t="s">
        <v>144</v>
      </c>
      <c r="B69" s="12" t="s">
        <v>410</v>
      </c>
      <c r="C69" s="12" t="s">
        <v>411</v>
      </c>
      <c r="D69" s="3"/>
      <c r="E69" s="3"/>
      <c r="F69" s="3"/>
      <c r="G69" s="3"/>
      <c r="H69" s="3"/>
      <c r="I69" s="3"/>
      <c r="J69" s="3"/>
      <c r="K69" s="3"/>
      <c r="L69" s="3"/>
      <c r="M69" s="3"/>
      <c r="N69" s="3"/>
      <c r="O69" s="3"/>
      <c r="P69" s="3"/>
      <c r="Q69" s="3"/>
      <c r="R69" s="3"/>
      <c r="S69" s="3"/>
      <c r="T69" s="3"/>
      <c r="U69" s="3"/>
      <c r="V69" s="3"/>
      <c r="W69" s="3"/>
      <c r="X69" s="3"/>
      <c r="Y69" s="3"/>
      <c r="Z69" s="3"/>
    </row>
    <row r="70" ht="48.0" customHeight="1">
      <c r="A70" s="12" t="s">
        <v>156</v>
      </c>
      <c r="B70" s="12" t="s">
        <v>414</v>
      </c>
      <c r="C70" s="12" t="s">
        <v>415</v>
      </c>
      <c r="D70" s="3"/>
      <c r="E70" s="3"/>
      <c r="F70" s="3"/>
      <c r="G70" s="3"/>
      <c r="H70" s="3"/>
      <c r="I70" s="3"/>
      <c r="J70" s="3"/>
      <c r="K70" s="3"/>
      <c r="L70" s="3"/>
      <c r="M70" s="3"/>
      <c r="N70" s="3"/>
      <c r="O70" s="3"/>
      <c r="P70" s="3"/>
      <c r="Q70" s="3"/>
      <c r="R70" s="3"/>
      <c r="S70" s="3"/>
      <c r="T70" s="3"/>
      <c r="U70" s="3"/>
      <c r="V70" s="3"/>
      <c r="W70" s="3"/>
      <c r="X70" s="3"/>
      <c r="Y70" s="3"/>
      <c r="Z70" s="3"/>
    </row>
    <row r="71" ht="48.0" customHeight="1">
      <c r="A71" s="12" t="s">
        <v>202</v>
      </c>
      <c r="B71" s="12" t="s">
        <v>418</v>
      </c>
      <c r="C71" s="12" t="s">
        <v>419</v>
      </c>
      <c r="D71" s="3"/>
      <c r="E71" s="3"/>
      <c r="F71" s="3"/>
      <c r="G71" s="3"/>
      <c r="H71" s="3"/>
      <c r="I71" s="3"/>
      <c r="J71" s="3"/>
      <c r="K71" s="3"/>
      <c r="L71" s="3"/>
      <c r="M71" s="3"/>
      <c r="N71" s="3"/>
      <c r="O71" s="3"/>
      <c r="P71" s="3"/>
      <c r="Q71" s="3"/>
      <c r="R71" s="3"/>
      <c r="S71" s="3"/>
      <c r="T71" s="3"/>
      <c r="U71" s="3"/>
      <c r="V71" s="3"/>
      <c r="W71" s="3"/>
      <c r="X71" s="3"/>
      <c r="Y71" s="3"/>
      <c r="Z71" s="3"/>
    </row>
    <row r="72" ht="48.0" customHeight="1">
      <c r="A72" s="12" t="s">
        <v>197</v>
      </c>
      <c r="B72" s="12" t="s">
        <v>423</v>
      </c>
      <c r="C72" s="12" t="s">
        <v>425</v>
      </c>
      <c r="D72" s="3"/>
      <c r="E72" s="3"/>
      <c r="F72" s="3"/>
      <c r="G72" s="3"/>
      <c r="H72" s="3"/>
      <c r="I72" s="3"/>
      <c r="J72" s="3"/>
      <c r="K72" s="3"/>
      <c r="L72" s="3"/>
      <c r="M72" s="3"/>
      <c r="N72" s="3"/>
      <c r="O72" s="3"/>
      <c r="P72" s="3"/>
      <c r="Q72" s="3"/>
      <c r="R72" s="3"/>
      <c r="S72" s="3"/>
      <c r="T72" s="3"/>
      <c r="U72" s="3"/>
      <c r="V72" s="3"/>
      <c r="W72" s="3"/>
      <c r="X72" s="3"/>
      <c r="Y72" s="3"/>
      <c r="Z72" s="3"/>
    </row>
    <row r="73" ht="48.0" customHeight="1">
      <c r="A73" s="12" t="s">
        <v>240</v>
      </c>
      <c r="B73" s="12" t="s">
        <v>426</v>
      </c>
      <c r="C73" s="12" t="s">
        <v>427</v>
      </c>
      <c r="D73" s="3"/>
      <c r="E73" s="3"/>
      <c r="F73" s="3"/>
      <c r="G73" s="3"/>
      <c r="H73" s="3"/>
      <c r="I73" s="3"/>
      <c r="J73" s="3"/>
      <c r="K73" s="3"/>
      <c r="L73" s="3"/>
      <c r="M73" s="3"/>
      <c r="N73" s="3"/>
      <c r="O73" s="3"/>
      <c r="P73" s="3"/>
      <c r="Q73" s="3"/>
      <c r="R73" s="3"/>
      <c r="S73" s="3"/>
      <c r="T73" s="3"/>
      <c r="U73" s="3"/>
      <c r="V73" s="3"/>
      <c r="W73" s="3"/>
      <c r="X73" s="3"/>
      <c r="Y73" s="3"/>
      <c r="Z73" s="3"/>
    </row>
    <row r="74" ht="48.0" customHeight="1">
      <c r="A74" s="12" t="s">
        <v>217</v>
      </c>
      <c r="B74" s="12" t="s">
        <v>432</v>
      </c>
      <c r="C74" s="12" t="s">
        <v>433</v>
      </c>
      <c r="D74" s="3"/>
      <c r="E74" s="3"/>
      <c r="F74" s="3"/>
      <c r="G74" s="3"/>
      <c r="H74" s="3"/>
      <c r="I74" s="3"/>
      <c r="J74" s="3"/>
      <c r="K74" s="3"/>
      <c r="L74" s="3"/>
      <c r="M74" s="3"/>
      <c r="N74" s="3"/>
      <c r="O74" s="3"/>
      <c r="P74" s="3"/>
      <c r="Q74" s="3"/>
      <c r="R74" s="3"/>
      <c r="S74" s="3"/>
      <c r="T74" s="3"/>
      <c r="U74" s="3"/>
      <c r="V74" s="3"/>
      <c r="W74" s="3"/>
      <c r="X74" s="3"/>
      <c r="Y74" s="3"/>
      <c r="Z74" s="3"/>
    </row>
    <row r="75" ht="48.0" customHeight="1">
      <c r="A75" s="12" t="s">
        <v>236</v>
      </c>
      <c r="B75" s="12" t="s">
        <v>435</v>
      </c>
      <c r="C75" s="12" t="s">
        <v>437</v>
      </c>
      <c r="D75" s="3"/>
      <c r="E75" s="3"/>
      <c r="F75" s="3"/>
      <c r="G75" s="3"/>
      <c r="H75" s="3"/>
      <c r="I75" s="3"/>
      <c r="J75" s="3"/>
      <c r="K75" s="3"/>
      <c r="L75" s="3"/>
      <c r="M75" s="3"/>
      <c r="N75" s="3"/>
      <c r="O75" s="3"/>
      <c r="P75" s="3"/>
      <c r="Q75" s="3"/>
      <c r="R75" s="3"/>
      <c r="S75" s="3"/>
      <c r="T75" s="3"/>
      <c r="U75" s="3"/>
      <c r="V75" s="3"/>
      <c r="W75" s="3"/>
      <c r="X75" s="3"/>
      <c r="Y75" s="3"/>
      <c r="Z75" s="3"/>
    </row>
    <row r="76" ht="48.0" customHeight="1">
      <c r="A76" s="12" t="s">
        <v>247</v>
      </c>
      <c r="B76" s="12" t="s">
        <v>440</v>
      </c>
      <c r="C76" s="12" t="s">
        <v>441</v>
      </c>
      <c r="D76" s="3"/>
      <c r="E76" s="3"/>
      <c r="F76" s="3"/>
      <c r="G76" s="3"/>
      <c r="H76" s="3"/>
      <c r="I76" s="3"/>
      <c r="J76" s="3"/>
      <c r="K76" s="3"/>
      <c r="L76" s="3"/>
      <c r="M76" s="3"/>
      <c r="N76" s="3"/>
      <c r="O76" s="3"/>
      <c r="P76" s="3"/>
      <c r="Q76" s="3"/>
      <c r="R76" s="3"/>
      <c r="S76" s="3"/>
      <c r="T76" s="3"/>
      <c r="U76" s="3"/>
      <c r="V76" s="3"/>
      <c r="W76" s="3"/>
      <c r="X76" s="3"/>
      <c r="Y76" s="3"/>
      <c r="Z76" s="3"/>
    </row>
    <row r="77" ht="48.0" customHeight="1">
      <c r="A77" s="12" t="s">
        <v>103</v>
      </c>
      <c r="B77" s="12" t="s">
        <v>444</v>
      </c>
      <c r="C77" s="12" t="s">
        <v>445</v>
      </c>
      <c r="D77" s="3"/>
      <c r="E77" s="3"/>
      <c r="F77" s="3"/>
      <c r="G77" s="3"/>
      <c r="H77" s="3"/>
      <c r="I77" s="3"/>
      <c r="J77" s="3"/>
      <c r="K77" s="3"/>
      <c r="L77" s="3"/>
      <c r="M77" s="3"/>
      <c r="N77" s="3"/>
      <c r="O77" s="3"/>
      <c r="P77" s="3"/>
      <c r="Q77" s="3"/>
      <c r="R77" s="3"/>
      <c r="S77" s="3"/>
      <c r="T77" s="3"/>
      <c r="U77" s="3"/>
      <c r="V77" s="3"/>
      <c r="W77" s="3"/>
      <c r="X77" s="3"/>
      <c r="Y77" s="3"/>
      <c r="Z77" s="3"/>
    </row>
    <row r="78" ht="48.0" customHeight="1">
      <c r="A78" s="12" t="s">
        <v>226</v>
      </c>
      <c r="B78" s="12" t="s">
        <v>448</v>
      </c>
      <c r="C78" s="12" t="s">
        <v>449</v>
      </c>
      <c r="D78" s="3"/>
      <c r="E78" s="3"/>
      <c r="F78" s="3"/>
      <c r="G78" s="3"/>
      <c r="H78" s="3"/>
      <c r="I78" s="3"/>
      <c r="J78" s="3"/>
      <c r="K78" s="3"/>
      <c r="L78" s="3"/>
      <c r="M78" s="3"/>
      <c r="N78" s="3"/>
      <c r="O78" s="3"/>
      <c r="P78" s="3"/>
      <c r="Q78" s="3"/>
      <c r="R78" s="3"/>
      <c r="S78" s="3"/>
      <c r="T78" s="3"/>
      <c r="U78" s="3"/>
      <c r="V78" s="3"/>
      <c r="W78" s="3"/>
      <c r="X78" s="3"/>
      <c r="Y78" s="3"/>
      <c r="Z78" s="3"/>
    </row>
    <row r="79" ht="48.0" customHeight="1">
      <c r="A79" s="12" t="s">
        <v>297</v>
      </c>
      <c r="B79" s="12" t="s">
        <v>451</v>
      </c>
      <c r="C79" s="12" t="s">
        <v>453</v>
      </c>
      <c r="D79" s="3"/>
      <c r="E79" s="3"/>
      <c r="F79" s="3"/>
      <c r="G79" s="3"/>
      <c r="H79" s="3"/>
      <c r="I79" s="3"/>
      <c r="J79" s="3"/>
      <c r="K79" s="3"/>
      <c r="L79" s="3"/>
      <c r="M79" s="3"/>
      <c r="N79" s="3"/>
      <c r="O79" s="3"/>
      <c r="P79" s="3"/>
      <c r="Q79" s="3"/>
      <c r="R79" s="3"/>
      <c r="S79" s="3"/>
      <c r="T79" s="3"/>
      <c r="U79" s="3"/>
      <c r="V79" s="3"/>
      <c r="W79" s="3"/>
      <c r="X79" s="3"/>
      <c r="Y79" s="3"/>
      <c r="Z79" s="3"/>
    </row>
    <row r="80" ht="48.0" customHeight="1">
      <c r="A80" s="12" t="s">
        <v>308</v>
      </c>
      <c r="B80" s="12" t="s">
        <v>456</v>
      </c>
      <c r="C80" s="12" t="s">
        <v>457</v>
      </c>
      <c r="D80" s="3"/>
      <c r="E80" s="3"/>
      <c r="F80" s="3"/>
      <c r="G80" s="3"/>
      <c r="H80" s="3"/>
      <c r="I80" s="3"/>
      <c r="J80" s="3"/>
      <c r="K80" s="3"/>
      <c r="L80" s="3"/>
      <c r="M80" s="3"/>
      <c r="N80" s="3"/>
      <c r="O80" s="3"/>
      <c r="P80" s="3"/>
      <c r="Q80" s="3"/>
      <c r="R80" s="3"/>
      <c r="S80" s="3"/>
      <c r="T80" s="3"/>
      <c r="U80" s="3"/>
      <c r="V80" s="3"/>
      <c r="W80" s="3"/>
      <c r="X80" s="3"/>
      <c r="Y80" s="3"/>
      <c r="Z80" s="3"/>
    </row>
    <row r="81" ht="48.0" customHeight="1">
      <c r="A81" s="12" t="s">
        <v>317</v>
      </c>
      <c r="B81" s="12" t="s">
        <v>460</v>
      </c>
      <c r="C81" s="12" t="s">
        <v>462</v>
      </c>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2">
    <mergeCell ref="A1:G1"/>
    <mergeCell ref="A2:G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0"/>
    <col customWidth="1" min="2" max="2" width="16.0"/>
    <col customWidth="1" min="3" max="3" width="18.0"/>
    <col customWidth="1" min="4" max="4" width="16.0"/>
    <col customWidth="1" min="5" max="5" width="26.0"/>
    <col customWidth="1" min="6" max="6" width="70.0"/>
    <col customWidth="1" min="7" max="7" width="88.86"/>
  </cols>
  <sheetData>
    <row r="1" ht="19.5" customHeight="1">
      <c r="A1" s="2" t="s">
        <v>3</v>
      </c>
      <c r="H1" s="3"/>
      <c r="I1" s="3"/>
      <c r="J1" s="3"/>
      <c r="K1" s="3"/>
      <c r="L1" s="3"/>
      <c r="M1" s="3"/>
      <c r="N1" s="3"/>
      <c r="O1" s="3"/>
      <c r="P1" s="3"/>
      <c r="Q1" s="3"/>
      <c r="R1" s="3"/>
      <c r="S1" s="3"/>
      <c r="T1" s="3"/>
      <c r="U1" s="3"/>
      <c r="V1" s="3"/>
      <c r="W1" s="3"/>
      <c r="X1" s="3"/>
      <c r="Y1" s="3"/>
      <c r="Z1" s="3"/>
    </row>
    <row r="2" ht="25.5" customHeight="1">
      <c r="A2" s="5" t="s">
        <v>7</v>
      </c>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30.0" customHeight="1">
      <c r="A4" s="7" t="s">
        <v>55</v>
      </c>
      <c r="B4" s="7" t="s">
        <v>58</v>
      </c>
      <c r="C4" s="7" t="s">
        <v>59</v>
      </c>
      <c r="D4" s="7" t="s">
        <v>60</v>
      </c>
      <c r="E4" s="7" t="s">
        <v>61</v>
      </c>
      <c r="F4" s="7" t="s">
        <v>62</v>
      </c>
      <c r="G4" s="7" t="s">
        <v>63</v>
      </c>
      <c r="H4" s="9"/>
      <c r="I4" s="9"/>
      <c r="J4" s="9"/>
      <c r="K4" s="9"/>
      <c r="L4" s="9"/>
      <c r="M4" s="9"/>
      <c r="N4" s="9"/>
      <c r="O4" s="9"/>
      <c r="P4" s="9"/>
      <c r="Q4" s="9"/>
      <c r="R4" s="9"/>
      <c r="S4" s="9"/>
      <c r="T4" s="9"/>
      <c r="U4" s="9"/>
      <c r="V4" s="9"/>
      <c r="W4" s="9"/>
      <c r="X4" s="9"/>
      <c r="Y4" s="9"/>
      <c r="Z4" s="9"/>
    </row>
    <row r="5" ht="30.0" customHeight="1">
      <c r="A5" s="12" t="s">
        <v>67</v>
      </c>
      <c r="B5" s="12" t="s">
        <v>51</v>
      </c>
      <c r="C5" s="12" t="s">
        <v>51</v>
      </c>
      <c r="D5" s="12" t="s">
        <v>51</v>
      </c>
      <c r="E5" s="12" t="s">
        <v>74</v>
      </c>
      <c r="F5" s="12" t="s">
        <v>75</v>
      </c>
      <c r="G5" s="12" t="s">
        <v>76</v>
      </c>
      <c r="H5" s="9"/>
      <c r="I5" s="9"/>
      <c r="J5" s="9"/>
      <c r="K5" s="9"/>
      <c r="L5" s="9"/>
      <c r="M5" s="9"/>
      <c r="N5" s="9"/>
      <c r="O5" s="9"/>
      <c r="P5" s="9"/>
      <c r="Q5" s="9"/>
      <c r="R5" s="9"/>
      <c r="S5" s="9"/>
      <c r="T5" s="9"/>
      <c r="U5" s="9"/>
      <c r="V5" s="9"/>
      <c r="W5" s="9"/>
      <c r="X5" s="9"/>
      <c r="Y5" s="9"/>
      <c r="Z5" s="9"/>
    </row>
    <row r="6" ht="30.0" customHeight="1">
      <c r="A6" s="15" t="s">
        <v>84</v>
      </c>
      <c r="B6" s="15" t="s">
        <v>51</v>
      </c>
      <c r="C6" s="15" t="s">
        <v>51</v>
      </c>
      <c r="D6" s="15" t="s">
        <v>51</v>
      </c>
      <c r="E6" s="15" t="s">
        <v>74</v>
      </c>
      <c r="F6" s="15" t="s">
        <v>90</v>
      </c>
      <c r="G6" s="15" t="s">
        <v>92</v>
      </c>
      <c r="H6" s="9"/>
      <c r="I6" s="9"/>
      <c r="J6" s="9"/>
      <c r="K6" s="9"/>
      <c r="L6" s="9"/>
      <c r="M6" s="9"/>
      <c r="N6" s="9"/>
      <c r="O6" s="9"/>
      <c r="P6" s="9"/>
      <c r="Q6" s="9"/>
      <c r="R6" s="9"/>
      <c r="S6" s="9"/>
      <c r="T6" s="9"/>
      <c r="U6" s="9"/>
      <c r="V6" s="9"/>
      <c r="W6" s="9"/>
      <c r="X6" s="9"/>
      <c r="Y6" s="9"/>
      <c r="Z6" s="9"/>
    </row>
    <row r="7" ht="30.0" customHeight="1">
      <c r="A7" s="12" t="s">
        <v>96</v>
      </c>
      <c r="B7" s="12" t="s">
        <v>51</v>
      </c>
      <c r="C7" s="12" t="s">
        <v>51</v>
      </c>
      <c r="D7" s="12" t="s">
        <v>51</v>
      </c>
      <c r="E7" s="12" t="s">
        <v>74</v>
      </c>
      <c r="F7" s="12" t="s">
        <v>104</v>
      </c>
      <c r="G7" s="12" t="s">
        <v>106</v>
      </c>
      <c r="H7" s="9"/>
      <c r="I7" s="9"/>
      <c r="J7" s="9"/>
      <c r="K7" s="9"/>
      <c r="L7" s="9"/>
      <c r="M7" s="9"/>
      <c r="N7" s="9"/>
      <c r="O7" s="9"/>
      <c r="P7" s="9"/>
      <c r="Q7" s="9"/>
      <c r="R7" s="9"/>
      <c r="S7" s="9"/>
      <c r="T7" s="9"/>
      <c r="U7" s="9"/>
      <c r="V7" s="9"/>
      <c r="W7" s="9"/>
      <c r="X7" s="9"/>
      <c r="Y7" s="9"/>
      <c r="Z7" s="9"/>
    </row>
    <row r="8" ht="30.0" customHeight="1">
      <c r="A8" s="15" t="s">
        <v>112</v>
      </c>
      <c r="B8" s="15" t="s">
        <v>51</v>
      </c>
      <c r="C8" s="15" t="s">
        <v>51</v>
      </c>
      <c r="D8" s="15" t="s">
        <v>51</v>
      </c>
      <c r="E8" s="15" t="s">
        <v>74</v>
      </c>
      <c r="F8" s="15" t="s">
        <v>118</v>
      </c>
      <c r="G8" s="15" t="s">
        <v>119</v>
      </c>
      <c r="H8" s="9"/>
      <c r="I8" s="9"/>
      <c r="J8" s="9"/>
      <c r="K8" s="9"/>
      <c r="L8" s="9"/>
      <c r="M8" s="9"/>
      <c r="N8" s="9"/>
      <c r="O8" s="9"/>
      <c r="P8" s="9"/>
      <c r="Q8" s="9"/>
      <c r="R8" s="9"/>
      <c r="S8" s="9"/>
      <c r="T8" s="9"/>
      <c r="U8" s="9"/>
      <c r="V8" s="9"/>
      <c r="W8" s="9"/>
      <c r="X8" s="9"/>
      <c r="Y8" s="9"/>
      <c r="Z8" s="9"/>
    </row>
    <row r="9" ht="40.5" customHeight="1">
      <c r="A9" s="12" t="s">
        <v>124</v>
      </c>
      <c r="B9" s="12" t="s">
        <v>51</v>
      </c>
      <c r="C9" s="12" t="s">
        <v>51</v>
      </c>
      <c r="D9" s="12" t="s">
        <v>51</v>
      </c>
      <c r="E9" s="12" t="s">
        <v>74</v>
      </c>
      <c r="F9" s="12" t="s">
        <v>132</v>
      </c>
      <c r="G9" s="12" t="s">
        <v>133</v>
      </c>
      <c r="H9" s="9"/>
      <c r="I9" s="9"/>
      <c r="J9" s="9"/>
      <c r="K9" s="9"/>
      <c r="L9" s="9"/>
      <c r="M9" s="9"/>
      <c r="N9" s="9"/>
      <c r="O9" s="9"/>
      <c r="P9" s="9"/>
      <c r="Q9" s="9"/>
      <c r="R9" s="9"/>
      <c r="S9" s="9"/>
      <c r="T9" s="9"/>
      <c r="U9" s="9"/>
      <c r="V9" s="9"/>
      <c r="W9" s="9"/>
      <c r="X9" s="9"/>
      <c r="Y9" s="9"/>
      <c r="Z9" s="9"/>
    </row>
    <row r="10" ht="30.0" customHeight="1">
      <c r="A10" s="15" t="s">
        <v>140</v>
      </c>
      <c r="B10" s="15" t="s">
        <v>51</v>
      </c>
      <c r="C10" s="15" t="s">
        <v>51</v>
      </c>
      <c r="D10" s="15" t="s">
        <v>51</v>
      </c>
      <c r="E10" s="15" t="s">
        <v>74</v>
      </c>
      <c r="F10" s="15" t="s">
        <v>145</v>
      </c>
      <c r="G10" s="15" t="s">
        <v>147</v>
      </c>
      <c r="H10" s="9"/>
      <c r="I10" s="9"/>
      <c r="J10" s="9"/>
      <c r="K10" s="9"/>
      <c r="L10" s="9"/>
      <c r="M10" s="9"/>
      <c r="N10" s="9"/>
      <c r="O10" s="9"/>
      <c r="P10" s="9"/>
      <c r="Q10" s="9"/>
      <c r="R10" s="9"/>
      <c r="S10" s="9"/>
      <c r="T10" s="9"/>
      <c r="U10" s="9"/>
      <c r="V10" s="9"/>
      <c r="W10" s="9"/>
      <c r="X10" s="9"/>
      <c r="Y10" s="9"/>
      <c r="Z10" s="9"/>
    </row>
    <row r="11" ht="30.0" customHeight="1">
      <c r="A11" s="12" t="s">
        <v>155</v>
      </c>
      <c r="B11" s="12" t="s">
        <v>157</v>
      </c>
      <c r="C11" s="12" t="s">
        <v>158</v>
      </c>
      <c r="D11" s="12" t="s">
        <v>51</v>
      </c>
      <c r="E11" s="12" t="s">
        <v>162</v>
      </c>
      <c r="F11" s="12" t="s">
        <v>164</v>
      </c>
      <c r="G11" s="12" t="s">
        <v>165</v>
      </c>
      <c r="H11" s="9"/>
      <c r="I11" s="9"/>
      <c r="J11" s="9"/>
      <c r="K11" s="9"/>
      <c r="L11" s="9"/>
      <c r="M11" s="9"/>
      <c r="N11" s="9"/>
      <c r="O11" s="9"/>
      <c r="P11" s="9"/>
      <c r="Q11" s="9"/>
      <c r="R11" s="9"/>
      <c r="S11" s="9"/>
      <c r="T11" s="9"/>
      <c r="U11" s="9"/>
      <c r="V11" s="9"/>
      <c r="W11" s="9"/>
      <c r="X11" s="9"/>
      <c r="Y11" s="9"/>
      <c r="Z11" s="9"/>
    </row>
    <row r="12" ht="30.0" customHeight="1">
      <c r="A12" s="15" t="s">
        <v>172</v>
      </c>
      <c r="B12" s="15" t="s">
        <v>158</v>
      </c>
      <c r="C12" s="15" t="s">
        <v>51</v>
      </c>
      <c r="D12" s="15" t="s">
        <v>51</v>
      </c>
      <c r="E12" s="15" t="s">
        <v>162</v>
      </c>
      <c r="F12" s="15" t="s">
        <v>177</v>
      </c>
      <c r="G12" s="15" t="s">
        <v>178</v>
      </c>
      <c r="H12" s="9"/>
      <c r="I12" s="9"/>
      <c r="J12" s="9"/>
      <c r="K12" s="9"/>
      <c r="L12" s="9"/>
      <c r="M12" s="9"/>
      <c r="N12" s="9"/>
      <c r="O12" s="9"/>
      <c r="P12" s="9"/>
      <c r="Q12" s="9"/>
      <c r="R12" s="9"/>
      <c r="S12" s="9"/>
      <c r="T12" s="9"/>
      <c r="U12" s="9"/>
      <c r="V12" s="9"/>
      <c r="W12" s="9"/>
      <c r="X12" s="9"/>
      <c r="Y12" s="9"/>
      <c r="Z12" s="9"/>
    </row>
    <row r="13" ht="30.0" customHeight="1">
      <c r="A13" s="12" t="s">
        <v>181</v>
      </c>
      <c r="B13" s="12" t="s">
        <v>157</v>
      </c>
      <c r="C13" s="12" t="s">
        <v>51</v>
      </c>
      <c r="D13" s="12" t="s">
        <v>51</v>
      </c>
      <c r="E13" s="12" t="s">
        <v>183</v>
      </c>
      <c r="F13" s="12" t="s">
        <v>184</v>
      </c>
      <c r="G13" s="12" t="s">
        <v>186</v>
      </c>
      <c r="H13" s="9"/>
      <c r="I13" s="9"/>
      <c r="J13" s="9"/>
      <c r="K13" s="9"/>
      <c r="L13" s="9"/>
      <c r="M13" s="9"/>
      <c r="N13" s="9"/>
      <c r="O13" s="9"/>
      <c r="P13" s="9"/>
      <c r="Q13" s="9"/>
      <c r="R13" s="9"/>
      <c r="S13" s="9"/>
      <c r="T13" s="9"/>
      <c r="U13" s="9"/>
      <c r="V13" s="9"/>
      <c r="W13" s="9"/>
      <c r="X13" s="9"/>
      <c r="Y13" s="9"/>
      <c r="Z13" s="9"/>
    </row>
    <row r="14" ht="30.0" customHeight="1">
      <c r="A14" s="15" t="s">
        <v>192</v>
      </c>
      <c r="B14" s="15" t="s">
        <v>51</v>
      </c>
      <c r="C14" s="15" t="s">
        <v>158</v>
      </c>
      <c r="D14" s="15" t="s">
        <v>158</v>
      </c>
      <c r="E14" s="15" t="s">
        <v>196</v>
      </c>
      <c r="F14" s="15" t="s">
        <v>198</v>
      </c>
      <c r="G14" s="15" t="s">
        <v>199</v>
      </c>
      <c r="H14" s="9"/>
      <c r="I14" s="9"/>
      <c r="J14" s="9"/>
      <c r="K14" s="9"/>
      <c r="L14" s="9"/>
      <c r="M14" s="9"/>
      <c r="N14" s="9"/>
      <c r="O14" s="9"/>
      <c r="P14" s="9"/>
      <c r="Q14" s="9"/>
      <c r="R14" s="9"/>
      <c r="S14" s="9"/>
      <c r="T14" s="9"/>
      <c r="U14" s="9"/>
      <c r="V14" s="9"/>
      <c r="W14" s="9"/>
      <c r="X14" s="9"/>
      <c r="Y14" s="9"/>
      <c r="Z14" s="9"/>
    </row>
    <row r="15" ht="30.0" customHeight="1">
      <c r="A15" s="20" t="s">
        <v>211</v>
      </c>
      <c r="B15" s="20" t="s">
        <v>51</v>
      </c>
      <c r="C15" s="20" t="s">
        <v>51</v>
      </c>
      <c r="D15" s="20" t="s">
        <v>158</v>
      </c>
      <c r="E15" s="20" t="s">
        <v>196</v>
      </c>
      <c r="F15" s="20" t="s">
        <v>220</v>
      </c>
      <c r="G15" s="20" t="s">
        <v>221</v>
      </c>
      <c r="H15" s="9"/>
      <c r="I15" s="9"/>
      <c r="J15" s="9"/>
      <c r="K15" s="9"/>
      <c r="L15" s="9"/>
      <c r="M15" s="9"/>
      <c r="N15" s="9"/>
      <c r="O15" s="9"/>
      <c r="P15" s="9"/>
      <c r="Q15" s="9"/>
      <c r="R15" s="9"/>
      <c r="S15" s="9"/>
      <c r="T15" s="9"/>
      <c r="U15" s="9"/>
      <c r="V15" s="9"/>
      <c r="W15" s="9"/>
      <c r="X15" s="9"/>
      <c r="Y15" s="9"/>
      <c r="Z15" s="9"/>
    </row>
    <row r="16" ht="40.5" customHeight="1">
      <c r="A16" s="15" t="s">
        <v>230</v>
      </c>
      <c r="B16" s="15" t="s">
        <v>51</v>
      </c>
      <c r="C16" s="15" t="s">
        <v>51</v>
      </c>
      <c r="D16" s="15" t="s">
        <v>51</v>
      </c>
      <c r="E16" s="15" t="s">
        <v>74</v>
      </c>
      <c r="F16" s="15" t="s">
        <v>231</v>
      </c>
      <c r="G16" s="15" t="s">
        <v>233</v>
      </c>
      <c r="H16" s="9"/>
      <c r="I16" s="9"/>
      <c r="J16" s="9"/>
      <c r="K16" s="9"/>
      <c r="L16" s="9"/>
      <c r="M16" s="9"/>
      <c r="N16" s="9"/>
      <c r="O16" s="9"/>
      <c r="P16" s="9"/>
      <c r="Q16" s="9"/>
      <c r="R16" s="9"/>
      <c r="S16" s="9"/>
      <c r="T16" s="9"/>
      <c r="U16" s="9"/>
      <c r="V16" s="9"/>
      <c r="W16" s="9"/>
      <c r="X16" s="9"/>
      <c r="Y16" s="9"/>
      <c r="Z16" s="9"/>
    </row>
    <row r="17" ht="30.0" customHeight="1">
      <c r="A17" s="20" t="s">
        <v>239</v>
      </c>
      <c r="B17" s="20" t="s">
        <v>51</v>
      </c>
      <c r="C17" s="20" t="s">
        <v>51</v>
      </c>
      <c r="D17" s="20" t="s">
        <v>51</v>
      </c>
      <c r="E17" s="20" t="s">
        <v>74</v>
      </c>
      <c r="F17" s="20" t="s">
        <v>244</v>
      </c>
      <c r="G17" s="20" t="s">
        <v>246</v>
      </c>
      <c r="H17" s="9"/>
      <c r="I17" s="9"/>
      <c r="J17" s="9"/>
      <c r="K17" s="9"/>
      <c r="L17" s="9"/>
      <c r="M17" s="9"/>
      <c r="N17" s="9"/>
      <c r="O17" s="9"/>
      <c r="P17" s="9"/>
      <c r="Q17" s="9"/>
      <c r="R17" s="9"/>
      <c r="S17" s="9"/>
      <c r="T17" s="9"/>
      <c r="U17" s="9"/>
      <c r="V17" s="9"/>
      <c r="W17" s="9"/>
      <c r="X17" s="9"/>
      <c r="Y17" s="9"/>
      <c r="Z17" s="9"/>
    </row>
    <row r="18" ht="30.0" customHeight="1">
      <c r="A18" s="15" t="s">
        <v>253</v>
      </c>
      <c r="B18" s="15" t="s">
        <v>158</v>
      </c>
      <c r="C18" s="15" t="s">
        <v>51</v>
      </c>
      <c r="D18" s="15" t="s">
        <v>51</v>
      </c>
      <c r="E18" s="15" t="s">
        <v>162</v>
      </c>
      <c r="F18" s="15" t="s">
        <v>258</v>
      </c>
      <c r="G18" s="15" t="s">
        <v>259</v>
      </c>
      <c r="H18" s="9"/>
      <c r="I18" s="9"/>
      <c r="J18" s="9"/>
      <c r="K18" s="9"/>
      <c r="L18" s="9"/>
      <c r="M18" s="9"/>
      <c r="N18" s="9"/>
      <c r="O18" s="9"/>
      <c r="P18" s="9"/>
      <c r="Q18" s="9"/>
      <c r="R18" s="9"/>
      <c r="S18" s="9"/>
      <c r="T18" s="9"/>
      <c r="U18" s="9"/>
      <c r="V18" s="9"/>
      <c r="W18" s="9"/>
      <c r="X18" s="9"/>
      <c r="Y18" s="9"/>
      <c r="Z18" s="9"/>
    </row>
    <row r="19" ht="30.0" customHeight="1">
      <c r="A19" s="20" t="s">
        <v>261</v>
      </c>
      <c r="B19" s="20" t="s">
        <v>51</v>
      </c>
      <c r="C19" s="20" t="s">
        <v>51</v>
      </c>
      <c r="D19" s="20" t="s">
        <v>51</v>
      </c>
      <c r="E19" s="20" t="s">
        <v>74</v>
      </c>
      <c r="F19" s="20" t="s">
        <v>262</v>
      </c>
      <c r="G19" s="20" t="s">
        <v>263</v>
      </c>
      <c r="H19" s="9"/>
      <c r="I19" s="9"/>
      <c r="J19" s="9"/>
      <c r="K19" s="9"/>
      <c r="L19" s="9"/>
      <c r="M19" s="9"/>
      <c r="N19" s="9"/>
      <c r="O19" s="9"/>
      <c r="P19" s="9"/>
      <c r="Q19" s="9"/>
      <c r="R19" s="9"/>
      <c r="S19" s="9"/>
      <c r="T19" s="9"/>
      <c r="U19" s="9"/>
      <c r="V19" s="9"/>
      <c r="W19" s="9"/>
      <c r="X19" s="9"/>
      <c r="Y19" s="9"/>
      <c r="Z19" s="9"/>
    </row>
    <row r="20" ht="40.5" customHeight="1">
      <c r="A20" s="20" t="s">
        <v>265</v>
      </c>
      <c r="B20" s="20" t="s">
        <v>51</v>
      </c>
      <c r="C20" s="20" t="s">
        <v>51</v>
      </c>
      <c r="D20" s="20" t="s">
        <v>51</v>
      </c>
      <c r="E20" s="20" t="s">
        <v>74</v>
      </c>
      <c r="F20" s="20" t="s">
        <v>267</v>
      </c>
      <c r="G20" s="20" t="s">
        <v>268</v>
      </c>
      <c r="H20" s="9"/>
      <c r="I20" s="9"/>
      <c r="J20" s="9"/>
      <c r="K20" s="9"/>
      <c r="L20" s="9"/>
      <c r="M20" s="9"/>
      <c r="N20" s="9"/>
      <c r="O20" s="9"/>
      <c r="P20" s="9"/>
      <c r="Q20" s="9"/>
      <c r="R20" s="9"/>
      <c r="S20" s="9"/>
      <c r="T20" s="9"/>
      <c r="U20" s="9"/>
      <c r="V20" s="9"/>
      <c r="W20" s="9"/>
      <c r="X20" s="9"/>
      <c r="Y20" s="9"/>
      <c r="Z20" s="9"/>
    </row>
    <row r="21" ht="30.0" customHeight="1">
      <c r="A21" s="20" t="s">
        <v>273</v>
      </c>
      <c r="B21" s="20" t="s">
        <v>51</v>
      </c>
      <c r="C21" s="20" t="s">
        <v>51</v>
      </c>
      <c r="D21" s="20" t="s">
        <v>51</v>
      </c>
      <c r="E21" s="20" t="s">
        <v>74</v>
      </c>
      <c r="F21" s="20" t="s">
        <v>275</v>
      </c>
      <c r="G21" s="20" t="s">
        <v>276</v>
      </c>
      <c r="H21" s="9"/>
      <c r="I21" s="9"/>
      <c r="J21" s="9"/>
      <c r="K21" s="9"/>
      <c r="L21" s="9"/>
      <c r="M21" s="9"/>
      <c r="N21" s="9"/>
      <c r="O21" s="9"/>
      <c r="P21" s="9"/>
      <c r="Q21" s="9"/>
      <c r="R21" s="9"/>
      <c r="S21" s="9"/>
      <c r="T21" s="9"/>
      <c r="U21" s="9"/>
      <c r="V21" s="9"/>
      <c r="W21" s="9"/>
      <c r="X21" s="9"/>
      <c r="Y21" s="9"/>
      <c r="Z21" s="9"/>
    </row>
    <row r="22" ht="30.0" customHeight="1">
      <c r="A22" s="20" t="s">
        <v>280</v>
      </c>
      <c r="B22" s="20" t="s">
        <v>158</v>
      </c>
      <c r="C22" s="20" t="s">
        <v>51</v>
      </c>
      <c r="D22" s="20" t="s">
        <v>51</v>
      </c>
      <c r="E22" s="20" t="s">
        <v>162</v>
      </c>
      <c r="F22" s="20" t="s">
        <v>281</v>
      </c>
      <c r="G22" s="20" t="s">
        <v>282</v>
      </c>
      <c r="H22" s="9"/>
      <c r="I22" s="9"/>
      <c r="J22" s="9"/>
      <c r="K22" s="9"/>
      <c r="L22" s="9"/>
      <c r="M22" s="9"/>
      <c r="N22" s="9"/>
      <c r="O22" s="9"/>
      <c r="P22" s="9"/>
      <c r="Q22" s="9"/>
      <c r="R22" s="9"/>
      <c r="S22" s="9"/>
      <c r="T22" s="9"/>
      <c r="U22" s="9"/>
      <c r="V22" s="9"/>
      <c r="W22" s="9"/>
      <c r="X22" s="9"/>
      <c r="Y22" s="9"/>
      <c r="Z22" s="9"/>
    </row>
    <row r="23" ht="30.0" customHeight="1">
      <c r="A23" s="20" t="s">
        <v>289</v>
      </c>
      <c r="B23" s="20" t="s">
        <v>51</v>
      </c>
      <c r="C23" s="20" t="s">
        <v>51</v>
      </c>
      <c r="D23" s="20" t="s">
        <v>51</v>
      </c>
      <c r="E23" s="20" t="s">
        <v>74</v>
      </c>
      <c r="F23" s="20" t="s">
        <v>291</v>
      </c>
      <c r="G23" s="20" t="s">
        <v>293</v>
      </c>
      <c r="H23" s="9"/>
      <c r="I23" s="9"/>
      <c r="J23" s="9"/>
      <c r="K23" s="9"/>
      <c r="L23" s="9"/>
      <c r="M23" s="9"/>
      <c r="N23" s="9"/>
      <c r="O23" s="9"/>
      <c r="P23" s="9"/>
      <c r="Q23" s="9"/>
      <c r="R23" s="9"/>
      <c r="S23" s="9"/>
      <c r="T23" s="9"/>
      <c r="U23" s="9"/>
      <c r="V23" s="9"/>
      <c r="W23" s="9"/>
      <c r="X23" s="9"/>
      <c r="Y23" s="9"/>
      <c r="Z23" s="9"/>
    </row>
    <row r="24" ht="30.0" customHeight="1">
      <c r="A24" s="20" t="s">
        <v>296</v>
      </c>
      <c r="B24" s="20" t="s">
        <v>158</v>
      </c>
      <c r="C24" s="20" t="s">
        <v>51</v>
      </c>
      <c r="D24" s="20" t="s">
        <v>51</v>
      </c>
      <c r="E24" s="20" t="s">
        <v>162</v>
      </c>
      <c r="F24" s="20" t="s">
        <v>299</v>
      </c>
      <c r="G24" s="20" t="s">
        <v>300</v>
      </c>
      <c r="H24" s="9"/>
      <c r="I24" s="9"/>
      <c r="J24" s="9"/>
      <c r="K24" s="9"/>
      <c r="L24" s="9"/>
      <c r="M24" s="9"/>
      <c r="N24" s="9"/>
      <c r="O24" s="9"/>
      <c r="P24" s="9"/>
      <c r="Q24" s="9"/>
      <c r="R24" s="9"/>
      <c r="S24" s="9"/>
      <c r="T24" s="9"/>
      <c r="U24" s="9"/>
      <c r="V24" s="9"/>
      <c r="W24" s="9"/>
      <c r="X24" s="9"/>
      <c r="Y24" s="9"/>
      <c r="Z24" s="9"/>
    </row>
    <row r="25" ht="30.0" customHeight="1">
      <c r="A25" s="20" t="s">
        <v>305</v>
      </c>
      <c r="B25" s="20" t="s">
        <v>51</v>
      </c>
      <c r="C25" s="20" t="s">
        <v>51</v>
      </c>
      <c r="D25" s="20" t="s">
        <v>51</v>
      </c>
      <c r="E25" s="20" t="s">
        <v>74</v>
      </c>
      <c r="F25" s="20" t="s">
        <v>306</v>
      </c>
      <c r="G25" s="20" t="s">
        <v>307</v>
      </c>
      <c r="H25" s="9"/>
      <c r="I25" s="9"/>
      <c r="J25" s="9"/>
      <c r="K25" s="9"/>
      <c r="L25" s="9"/>
      <c r="M25" s="9"/>
      <c r="N25" s="9"/>
      <c r="O25" s="9"/>
      <c r="P25" s="9"/>
      <c r="Q25" s="9"/>
      <c r="R25" s="9"/>
      <c r="S25" s="9"/>
      <c r="T25" s="9"/>
      <c r="U25" s="9"/>
      <c r="V25" s="9"/>
      <c r="W25" s="9"/>
      <c r="X25" s="9"/>
      <c r="Y25" s="9"/>
      <c r="Z25" s="9"/>
    </row>
    <row r="26" ht="30.0" customHeight="1">
      <c r="A26" s="20" t="s">
        <v>311</v>
      </c>
      <c r="B26" s="20" t="s">
        <v>51</v>
      </c>
      <c r="C26" s="20" t="s">
        <v>51</v>
      </c>
      <c r="D26" s="20" t="s">
        <v>51</v>
      </c>
      <c r="E26" s="20" t="s">
        <v>74</v>
      </c>
      <c r="F26" s="20" t="s">
        <v>314</v>
      </c>
      <c r="G26" s="20" t="s">
        <v>315</v>
      </c>
      <c r="H26" s="9"/>
      <c r="I26" s="9"/>
      <c r="J26" s="9"/>
      <c r="K26" s="9"/>
      <c r="L26" s="9"/>
      <c r="M26" s="9"/>
      <c r="N26" s="9"/>
      <c r="O26" s="9"/>
      <c r="P26" s="9"/>
      <c r="Q26" s="9"/>
      <c r="R26" s="9"/>
      <c r="S26" s="9"/>
      <c r="T26" s="9"/>
      <c r="U26" s="9"/>
      <c r="V26" s="9"/>
      <c r="W26" s="9"/>
      <c r="X26" s="9"/>
      <c r="Y26" s="9"/>
      <c r="Z26" s="9"/>
    </row>
    <row r="27" ht="30.0" customHeight="1">
      <c r="A27" s="20" t="s">
        <v>316</v>
      </c>
      <c r="B27" s="20" t="s">
        <v>51</v>
      </c>
      <c r="C27" s="20" t="s">
        <v>51</v>
      </c>
      <c r="D27" s="20" t="s">
        <v>51</v>
      </c>
      <c r="E27" s="20" t="s">
        <v>74</v>
      </c>
      <c r="F27" s="20" t="s">
        <v>319</v>
      </c>
      <c r="G27" s="20" t="s">
        <v>321</v>
      </c>
      <c r="H27" s="9"/>
      <c r="I27" s="9"/>
      <c r="J27" s="9"/>
      <c r="K27" s="9"/>
      <c r="L27" s="9"/>
      <c r="M27" s="9"/>
      <c r="N27" s="9"/>
      <c r="O27" s="9"/>
      <c r="P27" s="9"/>
      <c r="Q27" s="9"/>
      <c r="R27" s="9"/>
      <c r="S27" s="9"/>
      <c r="T27" s="9"/>
      <c r="U27" s="9"/>
      <c r="V27" s="9"/>
      <c r="W27" s="9"/>
      <c r="X27" s="9"/>
      <c r="Y27" s="9"/>
      <c r="Z27" s="9"/>
    </row>
    <row r="28" ht="30.0" customHeight="1">
      <c r="A28" s="20" t="s">
        <v>323</v>
      </c>
      <c r="B28" s="20" t="s">
        <v>51</v>
      </c>
      <c r="C28" s="20" t="s">
        <v>51</v>
      </c>
      <c r="D28" s="20" t="s">
        <v>51</v>
      </c>
      <c r="E28" s="20" t="s">
        <v>74</v>
      </c>
      <c r="F28" s="20" t="s">
        <v>325</v>
      </c>
      <c r="G28" s="20" t="s">
        <v>327</v>
      </c>
      <c r="H28" s="9"/>
      <c r="I28" s="9"/>
      <c r="J28" s="9"/>
      <c r="K28" s="9"/>
      <c r="L28" s="9"/>
      <c r="M28" s="9"/>
      <c r="N28" s="9"/>
      <c r="O28" s="9"/>
      <c r="P28" s="9"/>
      <c r="Q28" s="9"/>
      <c r="R28" s="9"/>
      <c r="S28" s="9"/>
      <c r="T28" s="9"/>
      <c r="U28" s="9"/>
      <c r="V28" s="9"/>
      <c r="W28" s="9"/>
      <c r="X28" s="9"/>
      <c r="Y28" s="9"/>
      <c r="Z28" s="9"/>
    </row>
    <row r="29" ht="30.0" customHeight="1">
      <c r="A29" s="20" t="s">
        <v>332</v>
      </c>
      <c r="B29" s="20" t="s">
        <v>158</v>
      </c>
      <c r="C29" s="20" t="s">
        <v>51</v>
      </c>
      <c r="D29" s="20" t="s">
        <v>51</v>
      </c>
      <c r="E29" s="20" t="s">
        <v>183</v>
      </c>
      <c r="F29" s="20" t="s">
        <v>333</v>
      </c>
      <c r="G29" s="20" t="s">
        <v>334</v>
      </c>
      <c r="H29" s="9"/>
      <c r="I29" s="9"/>
      <c r="J29" s="9"/>
      <c r="K29" s="9"/>
      <c r="L29" s="9"/>
      <c r="M29" s="9"/>
      <c r="N29" s="9"/>
      <c r="O29" s="9"/>
      <c r="P29" s="9"/>
      <c r="Q29" s="9"/>
      <c r="R29" s="9"/>
      <c r="S29" s="9"/>
      <c r="T29" s="9"/>
      <c r="U29" s="9"/>
      <c r="V29" s="9"/>
      <c r="W29" s="9"/>
      <c r="X29" s="9"/>
      <c r="Y29" s="9"/>
      <c r="Z29" s="9"/>
    </row>
    <row r="30" ht="30.0" customHeight="1">
      <c r="A30" s="20" t="s">
        <v>339</v>
      </c>
      <c r="B30" s="20" t="s">
        <v>158</v>
      </c>
      <c r="C30" s="20" t="s">
        <v>51</v>
      </c>
      <c r="D30" s="20" t="s">
        <v>51</v>
      </c>
      <c r="E30" s="20" t="s">
        <v>183</v>
      </c>
      <c r="F30" s="20" t="s">
        <v>340</v>
      </c>
      <c r="G30" s="20" t="s">
        <v>341</v>
      </c>
      <c r="H30" s="9"/>
      <c r="I30" s="9"/>
      <c r="J30" s="9"/>
      <c r="K30" s="9"/>
      <c r="L30" s="9"/>
      <c r="M30" s="9"/>
      <c r="N30" s="9"/>
      <c r="O30" s="9"/>
      <c r="P30" s="9"/>
      <c r="Q30" s="9"/>
      <c r="R30" s="9"/>
      <c r="S30" s="9"/>
      <c r="T30" s="9"/>
      <c r="U30" s="9"/>
      <c r="V30" s="9"/>
      <c r="W30" s="9"/>
      <c r="X30" s="9"/>
      <c r="Y30" s="9"/>
      <c r="Z30" s="9"/>
    </row>
    <row r="31" ht="30.0" customHeight="1">
      <c r="A31" s="20" t="s">
        <v>347</v>
      </c>
      <c r="B31" s="20" t="s">
        <v>158</v>
      </c>
      <c r="C31" s="20" t="s">
        <v>51</v>
      </c>
      <c r="D31" s="20" t="s">
        <v>51</v>
      </c>
      <c r="E31" s="20" t="s">
        <v>162</v>
      </c>
      <c r="F31" s="20" t="s">
        <v>348</v>
      </c>
      <c r="G31" s="20" t="s">
        <v>349</v>
      </c>
      <c r="H31" s="9"/>
      <c r="I31" s="9"/>
      <c r="J31" s="9"/>
      <c r="K31" s="9"/>
      <c r="L31" s="9"/>
      <c r="M31" s="9"/>
      <c r="N31" s="9"/>
      <c r="O31" s="9"/>
      <c r="P31" s="9"/>
      <c r="Q31" s="9"/>
      <c r="R31" s="9"/>
      <c r="S31" s="9"/>
      <c r="T31" s="9"/>
      <c r="U31" s="9"/>
      <c r="V31" s="9"/>
      <c r="W31" s="9"/>
      <c r="X31" s="9"/>
      <c r="Y31" s="9"/>
      <c r="Z31" s="9"/>
    </row>
    <row r="32" ht="30.0" customHeight="1">
      <c r="A32" s="20" t="s">
        <v>353</v>
      </c>
      <c r="B32" s="20" t="s">
        <v>157</v>
      </c>
      <c r="C32" s="20" t="s">
        <v>51</v>
      </c>
      <c r="D32" s="20" t="s">
        <v>51</v>
      </c>
      <c r="E32" s="20" t="s">
        <v>183</v>
      </c>
      <c r="F32" s="20" t="s">
        <v>355</v>
      </c>
      <c r="G32" s="20" t="s">
        <v>356</v>
      </c>
      <c r="H32" s="9"/>
      <c r="I32" s="9"/>
      <c r="J32" s="9"/>
      <c r="K32" s="9"/>
      <c r="L32" s="9"/>
      <c r="M32" s="9"/>
      <c r="N32" s="9"/>
      <c r="O32" s="9"/>
      <c r="P32" s="9"/>
      <c r="Q32" s="9"/>
      <c r="R32" s="9"/>
      <c r="S32" s="9"/>
      <c r="T32" s="9"/>
      <c r="U32" s="9"/>
      <c r="V32" s="9"/>
      <c r="W32" s="9"/>
      <c r="X32" s="9"/>
      <c r="Y32" s="9"/>
      <c r="Z32" s="9"/>
    </row>
    <row r="33" ht="30.0" customHeight="1">
      <c r="A33" s="20" t="s">
        <v>359</v>
      </c>
      <c r="B33" s="20" t="s">
        <v>157</v>
      </c>
      <c r="C33" s="20" t="s">
        <v>51</v>
      </c>
      <c r="D33" s="20" t="s">
        <v>51</v>
      </c>
      <c r="E33" s="20" t="s">
        <v>183</v>
      </c>
      <c r="F33" s="20" t="s">
        <v>362</v>
      </c>
      <c r="G33" s="20" t="s">
        <v>363</v>
      </c>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mergeCells count="2">
    <mergeCell ref="A1:G1"/>
    <mergeCell ref="A2:G2"/>
  </mergeCells>
  <dataValidations>
    <dataValidation type="list" allowBlank="1" showInputMessage="1" showErrorMessage="1" prompt="Valor no admitido - Veredictos admitidos: Entidad, Atributo, Rol, Producto del sistema o Elemento del entorno." sqref="E5:E60">
      <formula1>"Entidad,Atributo de otra entidad,Rol de una entidad,Producto del sistema,Elemento del entorno"</formula1>
    </dataValidation>
    <dataValidation type="list" allowBlank="1" showInputMessage="1" showErrorMessage="1" prompt="Valor no admitido - Responda Sí, No o Parcialmente." sqref="B5:D60">
      <formula1>"Sí,No,Parcialmente"</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86"/>
    <col customWidth="1" min="2" max="2" width="13.71"/>
    <col customWidth="1" min="3" max="3" width="103.14"/>
    <col customWidth="1" min="4" max="4" width="106.43"/>
    <col customWidth="1" min="5" max="5" width="13.14"/>
    <col customWidth="1" min="6" max="6" width="20.0"/>
  </cols>
  <sheetData>
    <row r="1" ht="19.5" customHeight="1">
      <c r="A1" s="2" t="s">
        <v>499</v>
      </c>
      <c r="H1" s="3"/>
      <c r="I1" s="3"/>
      <c r="J1" s="3"/>
      <c r="K1" s="3"/>
      <c r="L1" s="3"/>
      <c r="M1" s="3"/>
      <c r="N1" s="3"/>
      <c r="O1" s="3"/>
      <c r="P1" s="3"/>
      <c r="Q1" s="3"/>
      <c r="R1" s="3"/>
      <c r="S1" s="3"/>
      <c r="T1" s="3"/>
      <c r="U1" s="3"/>
      <c r="V1" s="3"/>
      <c r="W1" s="3"/>
      <c r="X1" s="3"/>
      <c r="Y1" s="3"/>
      <c r="Z1" s="3"/>
    </row>
    <row r="2" ht="25.5" customHeight="1">
      <c r="A2" s="5" t="s">
        <v>500</v>
      </c>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30.0" customHeight="1">
      <c r="A4" s="7" t="s">
        <v>501</v>
      </c>
      <c r="B4" s="7" t="s">
        <v>13</v>
      </c>
      <c r="C4" s="7" t="s">
        <v>502</v>
      </c>
      <c r="D4" s="7" t="s">
        <v>503</v>
      </c>
      <c r="E4" s="7" t="s">
        <v>504</v>
      </c>
      <c r="F4" s="7" t="s">
        <v>505</v>
      </c>
      <c r="G4" s="3"/>
      <c r="H4" s="3"/>
      <c r="I4" s="3"/>
      <c r="J4" s="3"/>
      <c r="K4" s="3"/>
      <c r="L4" s="3"/>
      <c r="M4" s="3"/>
      <c r="N4" s="3"/>
      <c r="O4" s="3"/>
      <c r="P4" s="3"/>
      <c r="Q4" s="3"/>
      <c r="R4" s="3"/>
      <c r="S4" s="3"/>
      <c r="T4" s="3"/>
      <c r="U4" s="3"/>
      <c r="V4" s="3"/>
      <c r="W4" s="3"/>
      <c r="X4" s="3"/>
      <c r="Y4" s="3"/>
      <c r="Z4" s="3"/>
    </row>
    <row r="5" ht="40.5" customHeight="1">
      <c r="A5" s="24" t="s">
        <v>506</v>
      </c>
      <c r="B5" s="12" t="s">
        <v>507</v>
      </c>
      <c r="C5" s="12" t="s">
        <v>508</v>
      </c>
      <c r="D5" s="12" t="s">
        <v>509</v>
      </c>
      <c r="E5" s="12" t="s">
        <v>510</v>
      </c>
      <c r="F5" s="12" t="s">
        <v>32</v>
      </c>
      <c r="G5" s="3"/>
      <c r="H5" s="3"/>
      <c r="I5" s="3"/>
      <c r="J5" s="3"/>
      <c r="K5" s="3"/>
      <c r="L5" s="3"/>
      <c r="M5" s="3"/>
      <c r="N5" s="3"/>
      <c r="O5" s="3"/>
      <c r="P5" s="3"/>
      <c r="Q5" s="3"/>
      <c r="R5" s="3"/>
      <c r="S5" s="3"/>
      <c r="T5" s="3"/>
      <c r="U5" s="3"/>
      <c r="V5" s="3"/>
      <c r="W5" s="3"/>
      <c r="X5" s="3"/>
      <c r="Y5" s="3"/>
      <c r="Z5" s="3"/>
    </row>
    <row r="6" ht="39.75" customHeight="1">
      <c r="A6" s="15" t="s">
        <v>511</v>
      </c>
      <c r="B6" s="15" t="s">
        <v>507</v>
      </c>
      <c r="C6" s="15" t="s">
        <v>512</v>
      </c>
      <c r="D6" s="15" t="s">
        <v>513</v>
      </c>
      <c r="E6" s="15" t="s">
        <v>510</v>
      </c>
      <c r="F6" s="15" t="s">
        <v>116</v>
      </c>
      <c r="G6" s="3"/>
      <c r="H6" s="3"/>
      <c r="I6" s="3"/>
      <c r="J6" s="3"/>
      <c r="K6" s="3"/>
      <c r="L6" s="3"/>
      <c r="M6" s="3"/>
      <c r="N6" s="3"/>
      <c r="O6" s="3"/>
      <c r="P6" s="3"/>
      <c r="Q6" s="3"/>
      <c r="R6" s="3"/>
      <c r="S6" s="3"/>
      <c r="T6" s="3"/>
      <c r="U6" s="3"/>
      <c r="V6" s="3"/>
      <c r="W6" s="3"/>
      <c r="X6" s="3"/>
      <c r="Y6" s="3"/>
      <c r="Z6" s="3"/>
    </row>
    <row r="7" ht="39.75" customHeight="1">
      <c r="A7" s="12" t="s">
        <v>514</v>
      </c>
      <c r="B7" s="12" t="s">
        <v>507</v>
      </c>
      <c r="C7" s="12" t="s">
        <v>515</v>
      </c>
      <c r="D7" s="12" t="s">
        <v>516</v>
      </c>
      <c r="E7" s="12" t="s">
        <v>510</v>
      </c>
      <c r="F7" s="12" t="s">
        <v>144</v>
      </c>
      <c r="G7" s="3"/>
      <c r="H7" s="3"/>
      <c r="I7" s="3"/>
      <c r="J7" s="3"/>
      <c r="K7" s="3"/>
      <c r="L7" s="3"/>
      <c r="M7" s="3"/>
      <c r="N7" s="3"/>
      <c r="O7" s="3"/>
      <c r="P7" s="3"/>
      <c r="Q7" s="3"/>
      <c r="R7" s="3"/>
      <c r="S7" s="3"/>
      <c r="T7" s="3"/>
      <c r="U7" s="3"/>
      <c r="V7" s="3"/>
      <c r="W7" s="3"/>
      <c r="X7" s="3"/>
      <c r="Y7" s="3"/>
      <c r="Z7" s="3"/>
    </row>
    <row r="8" ht="63.0" customHeight="1">
      <c r="A8" s="15" t="s">
        <v>517</v>
      </c>
      <c r="B8" s="15" t="s">
        <v>518</v>
      </c>
      <c r="C8" s="15" t="s">
        <v>519</v>
      </c>
      <c r="D8" s="15" t="s">
        <v>520</v>
      </c>
      <c r="E8" s="15" t="s">
        <v>510</v>
      </c>
      <c r="F8" s="15" t="s">
        <v>156</v>
      </c>
      <c r="G8" s="3"/>
      <c r="H8" s="3"/>
      <c r="I8" s="3"/>
      <c r="J8" s="3"/>
      <c r="K8" s="3"/>
      <c r="L8" s="3"/>
      <c r="M8" s="3"/>
      <c r="N8" s="3"/>
      <c r="O8" s="3"/>
      <c r="P8" s="3"/>
      <c r="Q8" s="3"/>
      <c r="R8" s="3"/>
      <c r="S8" s="3"/>
      <c r="T8" s="3"/>
      <c r="U8" s="3"/>
      <c r="V8" s="3"/>
      <c r="W8" s="3"/>
      <c r="X8" s="3"/>
      <c r="Y8" s="3"/>
      <c r="Z8" s="3"/>
    </row>
    <row r="9" ht="40.5" customHeight="1">
      <c r="A9" s="12" t="s">
        <v>521</v>
      </c>
      <c r="B9" s="12" t="s">
        <v>507</v>
      </c>
      <c r="C9" s="12" t="s">
        <v>522</v>
      </c>
      <c r="D9" s="12" t="s">
        <v>523</v>
      </c>
      <c r="E9" s="12" t="s">
        <v>510</v>
      </c>
      <c r="F9" s="12" t="s">
        <v>202</v>
      </c>
      <c r="G9" s="3"/>
      <c r="H9" s="3"/>
      <c r="I9" s="3"/>
      <c r="J9" s="3"/>
      <c r="K9" s="3"/>
      <c r="L9" s="3"/>
      <c r="M9" s="3"/>
      <c r="N9" s="3"/>
      <c r="O9" s="3"/>
      <c r="P9" s="3"/>
      <c r="Q9" s="3"/>
      <c r="R9" s="3"/>
      <c r="S9" s="3"/>
      <c r="T9" s="3"/>
      <c r="U9" s="3"/>
      <c r="V9" s="3"/>
      <c r="W9" s="3"/>
      <c r="X9" s="3"/>
      <c r="Y9" s="3"/>
      <c r="Z9" s="3"/>
    </row>
    <row r="10" ht="40.5" customHeight="1">
      <c r="A10" s="15" t="s">
        <v>524</v>
      </c>
      <c r="B10" s="15" t="s">
        <v>525</v>
      </c>
      <c r="C10" s="15" t="s">
        <v>526</v>
      </c>
      <c r="D10" s="15" t="s">
        <v>527</v>
      </c>
      <c r="E10" s="15" t="s">
        <v>510</v>
      </c>
      <c r="F10" s="15" t="s">
        <v>247</v>
      </c>
      <c r="G10" s="3"/>
      <c r="H10" s="3"/>
      <c r="I10" s="3"/>
      <c r="J10" s="3"/>
      <c r="K10" s="3"/>
      <c r="L10" s="3"/>
      <c r="M10" s="3"/>
      <c r="N10" s="3"/>
      <c r="O10" s="3"/>
      <c r="P10" s="3"/>
      <c r="Q10" s="3"/>
      <c r="R10" s="3"/>
      <c r="S10" s="3"/>
      <c r="T10" s="3"/>
      <c r="U10" s="3"/>
      <c r="V10" s="3"/>
      <c r="W10" s="3"/>
      <c r="X10" s="3"/>
      <c r="Y10" s="3"/>
      <c r="Z10" s="3"/>
    </row>
    <row r="11" ht="40.5" customHeight="1">
      <c r="A11" s="12" t="s">
        <v>528</v>
      </c>
      <c r="B11" s="12" t="s">
        <v>518</v>
      </c>
      <c r="C11" s="12" t="s">
        <v>529</v>
      </c>
      <c r="D11" s="12" t="s">
        <v>530</v>
      </c>
      <c r="E11" s="12" t="s">
        <v>510</v>
      </c>
      <c r="F11" s="12" t="s">
        <v>97</v>
      </c>
      <c r="G11" s="3"/>
      <c r="H11" s="3"/>
      <c r="I11" s="3"/>
      <c r="J11" s="3"/>
      <c r="K11" s="3"/>
      <c r="L11" s="3"/>
      <c r="M11" s="3"/>
      <c r="N11" s="3"/>
      <c r="O11" s="3"/>
      <c r="P11" s="3"/>
      <c r="Q11" s="3"/>
      <c r="R11" s="3"/>
      <c r="S11" s="3"/>
      <c r="T11" s="3"/>
      <c r="U11" s="3"/>
      <c r="V11" s="3"/>
      <c r="W11" s="3"/>
      <c r="X11" s="3"/>
      <c r="Y11" s="3"/>
      <c r="Z11" s="3"/>
    </row>
    <row r="12" ht="39.75" customHeight="1">
      <c r="A12" s="12" t="s">
        <v>531</v>
      </c>
      <c r="B12" s="12" t="s">
        <v>507</v>
      </c>
      <c r="C12" s="12" t="s">
        <v>532</v>
      </c>
      <c r="D12" s="12" t="s">
        <v>533</v>
      </c>
      <c r="E12" s="12" t="s">
        <v>252</v>
      </c>
      <c r="F12" s="12" t="s">
        <v>364</v>
      </c>
      <c r="G12" s="3"/>
      <c r="H12" s="3"/>
      <c r="I12" s="3"/>
      <c r="J12" s="3"/>
      <c r="K12" s="3"/>
      <c r="L12" s="3"/>
      <c r="M12" s="3"/>
      <c r="N12" s="3"/>
      <c r="O12" s="3"/>
      <c r="P12" s="3"/>
      <c r="Q12" s="3"/>
      <c r="R12" s="3"/>
      <c r="S12" s="3"/>
      <c r="T12" s="3"/>
      <c r="U12" s="3"/>
      <c r="V12" s="3"/>
      <c r="W12" s="3"/>
      <c r="X12" s="3"/>
      <c r="Y12" s="3"/>
      <c r="Z12" s="3"/>
    </row>
    <row r="13" ht="40.5" customHeight="1">
      <c r="A13" s="12" t="s">
        <v>534</v>
      </c>
      <c r="B13" s="12" t="s">
        <v>507</v>
      </c>
      <c r="C13" s="12" t="s">
        <v>535</v>
      </c>
      <c r="D13" s="12" t="s">
        <v>536</v>
      </c>
      <c r="E13" s="12" t="s">
        <v>252</v>
      </c>
      <c r="F13" s="12" t="s">
        <v>537</v>
      </c>
      <c r="G13" s="3"/>
      <c r="H13" s="3"/>
      <c r="I13" s="3"/>
      <c r="J13" s="3"/>
      <c r="K13" s="3"/>
      <c r="L13" s="3"/>
      <c r="M13" s="3"/>
      <c r="N13" s="3"/>
      <c r="O13" s="3"/>
      <c r="P13" s="3"/>
      <c r="Q13" s="3"/>
      <c r="R13" s="3"/>
      <c r="S13" s="3"/>
      <c r="T13" s="3"/>
      <c r="U13" s="3"/>
      <c r="V13" s="3"/>
      <c r="W13" s="3"/>
      <c r="X13" s="3"/>
      <c r="Y13" s="3"/>
      <c r="Z13" s="3"/>
    </row>
    <row r="14" ht="39.75" customHeight="1">
      <c r="A14" s="12" t="s">
        <v>538</v>
      </c>
      <c r="B14" s="12" t="s">
        <v>507</v>
      </c>
      <c r="C14" s="12" t="s">
        <v>539</v>
      </c>
      <c r="D14" s="12" t="s">
        <v>540</v>
      </c>
      <c r="E14" s="12" t="s">
        <v>252</v>
      </c>
      <c r="F14" s="12" t="s">
        <v>324</v>
      </c>
      <c r="G14" s="3"/>
      <c r="H14" s="3"/>
      <c r="I14" s="3"/>
      <c r="J14" s="3"/>
      <c r="K14" s="3"/>
      <c r="L14" s="3"/>
      <c r="M14" s="3"/>
      <c r="N14" s="3"/>
      <c r="O14" s="3"/>
      <c r="P14" s="3"/>
      <c r="Q14" s="3"/>
      <c r="R14" s="3"/>
      <c r="S14" s="3"/>
      <c r="T14" s="3"/>
      <c r="U14" s="3"/>
      <c r="V14" s="3"/>
      <c r="W14" s="3"/>
      <c r="X14" s="3"/>
      <c r="Y14" s="3"/>
      <c r="Z14" s="3"/>
    </row>
    <row r="15" ht="39.75" customHeight="1">
      <c r="A15" s="12" t="s">
        <v>541</v>
      </c>
      <c r="B15" s="12" t="s">
        <v>507</v>
      </c>
      <c r="C15" s="12" t="s">
        <v>542</v>
      </c>
      <c r="D15" s="12" t="s">
        <v>543</v>
      </c>
      <c r="E15" s="12" t="s">
        <v>252</v>
      </c>
      <c r="F15" s="12" t="s">
        <v>335</v>
      </c>
      <c r="G15" s="3"/>
      <c r="H15" s="3"/>
      <c r="I15" s="3"/>
      <c r="J15" s="3"/>
      <c r="K15" s="3"/>
      <c r="L15" s="3"/>
      <c r="M15" s="3"/>
      <c r="N15" s="3"/>
      <c r="O15" s="3"/>
      <c r="P15" s="3"/>
      <c r="Q15" s="3"/>
      <c r="R15" s="3"/>
      <c r="S15" s="3"/>
      <c r="T15" s="3"/>
      <c r="U15" s="3"/>
      <c r="V15" s="3"/>
      <c r="W15" s="3"/>
      <c r="X15" s="3"/>
      <c r="Y15" s="3"/>
      <c r="Z15" s="3"/>
    </row>
    <row r="16" ht="39.75" customHeight="1">
      <c r="A16" s="12" t="s">
        <v>544</v>
      </c>
      <c r="B16" s="12" t="s">
        <v>507</v>
      </c>
      <c r="C16" s="12" t="s">
        <v>545</v>
      </c>
      <c r="D16" s="12" t="s">
        <v>546</v>
      </c>
      <c r="E16" s="12" t="s">
        <v>252</v>
      </c>
      <c r="F16" s="12" t="s">
        <v>488</v>
      </c>
      <c r="G16" s="3"/>
      <c r="H16" s="3"/>
      <c r="I16" s="3"/>
      <c r="J16" s="3"/>
      <c r="K16" s="3"/>
      <c r="L16" s="3"/>
      <c r="M16" s="3"/>
      <c r="N16" s="3"/>
      <c r="O16" s="3"/>
      <c r="P16" s="3"/>
      <c r="Q16" s="3"/>
      <c r="R16" s="3"/>
      <c r="S16" s="3"/>
      <c r="T16" s="3"/>
      <c r="U16" s="3"/>
      <c r="V16" s="3"/>
      <c r="W16" s="3"/>
      <c r="X16" s="3"/>
      <c r="Y16" s="3"/>
      <c r="Z16" s="3"/>
    </row>
    <row r="17" ht="39.75" customHeight="1">
      <c r="A17" s="12" t="s">
        <v>547</v>
      </c>
      <c r="B17" s="12" t="s">
        <v>507</v>
      </c>
      <c r="C17" s="12" t="s">
        <v>548</v>
      </c>
      <c r="D17" s="12" t="s">
        <v>549</v>
      </c>
      <c r="E17" s="12" t="s">
        <v>252</v>
      </c>
      <c r="F17" s="12" t="s">
        <v>550</v>
      </c>
      <c r="G17" s="3"/>
      <c r="H17" s="3"/>
      <c r="I17" s="3"/>
      <c r="J17" s="3"/>
      <c r="K17" s="3"/>
      <c r="L17" s="3"/>
      <c r="M17" s="3"/>
      <c r="N17" s="3"/>
      <c r="O17" s="3"/>
      <c r="P17" s="3"/>
      <c r="Q17" s="3"/>
      <c r="R17" s="3"/>
      <c r="S17" s="3"/>
      <c r="T17" s="3"/>
      <c r="U17" s="3"/>
      <c r="V17" s="3"/>
      <c r="W17" s="3"/>
      <c r="X17" s="3"/>
      <c r="Y17" s="3"/>
      <c r="Z17" s="3"/>
    </row>
    <row r="18" ht="39.75" customHeight="1">
      <c r="A18" s="12" t="s">
        <v>551</v>
      </c>
      <c r="B18" s="12" t="s">
        <v>518</v>
      </c>
      <c r="C18" s="12" t="s">
        <v>552</v>
      </c>
      <c r="D18" s="12" t="s">
        <v>553</v>
      </c>
      <c r="E18" s="12" t="s">
        <v>252</v>
      </c>
      <c r="F18" s="12" t="s">
        <v>404</v>
      </c>
      <c r="G18" s="3"/>
      <c r="H18" s="3"/>
      <c r="I18" s="3"/>
      <c r="J18" s="3"/>
      <c r="K18" s="3"/>
      <c r="L18" s="3"/>
      <c r="M18" s="3"/>
      <c r="N18" s="3"/>
      <c r="O18" s="3"/>
      <c r="P18" s="3"/>
      <c r="Q18" s="3"/>
      <c r="R18" s="3"/>
      <c r="S18" s="3"/>
      <c r="T18" s="3"/>
      <c r="U18" s="3"/>
      <c r="V18" s="3"/>
      <c r="W18" s="3"/>
      <c r="X18" s="3"/>
      <c r="Y18" s="3"/>
      <c r="Z18" s="3"/>
    </row>
    <row r="19" ht="39.75" customHeight="1">
      <c r="A19" s="12" t="s">
        <v>554</v>
      </c>
      <c r="B19" s="12" t="s">
        <v>525</v>
      </c>
      <c r="C19" s="12" t="s">
        <v>555</v>
      </c>
      <c r="D19" s="12" t="s">
        <v>556</v>
      </c>
      <c r="E19" s="12" t="s">
        <v>252</v>
      </c>
      <c r="F19" s="12" t="s">
        <v>373</v>
      </c>
      <c r="G19" s="3"/>
      <c r="H19" s="3"/>
      <c r="I19" s="3"/>
      <c r="J19" s="3"/>
      <c r="K19" s="3"/>
      <c r="L19" s="3"/>
      <c r="M19" s="3"/>
      <c r="N19" s="3"/>
      <c r="O19" s="3"/>
      <c r="P19" s="3"/>
      <c r="Q19" s="3"/>
      <c r="R19" s="3"/>
      <c r="S19" s="3"/>
      <c r="T19" s="3"/>
      <c r="U19" s="3"/>
      <c r="V19" s="3"/>
      <c r="W19" s="3"/>
      <c r="X19" s="3"/>
      <c r="Y19" s="3"/>
      <c r="Z19" s="3"/>
    </row>
    <row r="20" ht="39.75" customHeight="1">
      <c r="A20" s="12" t="s">
        <v>557</v>
      </c>
      <c r="B20" s="12" t="s">
        <v>507</v>
      </c>
      <c r="C20" s="12" t="s">
        <v>558</v>
      </c>
      <c r="D20" s="12" t="s">
        <v>559</v>
      </c>
      <c r="E20" s="12" t="s">
        <v>252</v>
      </c>
      <c r="F20" s="12" t="s">
        <v>395</v>
      </c>
      <c r="G20" s="3"/>
      <c r="H20" s="3"/>
      <c r="I20" s="3"/>
      <c r="J20" s="3"/>
      <c r="K20" s="3"/>
      <c r="L20" s="3"/>
      <c r="M20" s="3"/>
      <c r="N20" s="3"/>
      <c r="O20" s="3"/>
      <c r="P20" s="3"/>
      <c r="Q20" s="3"/>
      <c r="R20" s="3"/>
      <c r="S20" s="3"/>
      <c r="T20" s="3"/>
      <c r="U20" s="3"/>
      <c r="V20" s="3"/>
      <c r="W20" s="3"/>
      <c r="X20" s="3"/>
      <c r="Y20" s="3"/>
      <c r="Z20" s="3"/>
    </row>
    <row r="21" ht="39.75" customHeight="1">
      <c r="A21" s="12" t="s">
        <v>560</v>
      </c>
      <c r="B21" s="12" t="s">
        <v>518</v>
      </c>
      <c r="C21" s="12" t="s">
        <v>561</v>
      </c>
      <c r="D21" s="12" t="s">
        <v>562</v>
      </c>
      <c r="E21" s="12" t="s">
        <v>252</v>
      </c>
      <c r="F21" s="12" t="s">
        <v>381</v>
      </c>
      <c r="G21" s="3"/>
      <c r="H21" s="3"/>
      <c r="I21" s="3"/>
      <c r="J21" s="3"/>
      <c r="K21" s="3"/>
      <c r="L21" s="3"/>
      <c r="M21" s="3"/>
      <c r="N21" s="3"/>
      <c r="O21" s="3"/>
      <c r="P21" s="3"/>
      <c r="Q21" s="3"/>
      <c r="R21" s="3"/>
      <c r="S21" s="3"/>
      <c r="T21" s="3"/>
      <c r="U21" s="3"/>
      <c r="V21" s="3"/>
      <c r="W21" s="3"/>
      <c r="X21" s="3"/>
      <c r="Y21" s="3"/>
      <c r="Z21" s="3"/>
    </row>
    <row r="22" ht="39.75" customHeight="1">
      <c r="A22" s="12" t="s">
        <v>563</v>
      </c>
      <c r="B22" s="12" t="s">
        <v>507</v>
      </c>
      <c r="C22" s="12" t="s">
        <v>564</v>
      </c>
      <c r="D22" s="12" t="s">
        <v>565</v>
      </c>
      <c r="E22" s="12" t="s">
        <v>252</v>
      </c>
      <c r="F22" s="12" t="s">
        <v>566</v>
      </c>
      <c r="G22" s="3"/>
      <c r="H22" s="3"/>
      <c r="I22" s="3"/>
      <c r="J22" s="3"/>
      <c r="K22" s="3"/>
      <c r="L22" s="3"/>
      <c r="M22" s="3"/>
      <c r="N22" s="3"/>
      <c r="O22" s="3"/>
      <c r="P22" s="3"/>
      <c r="Q22" s="3"/>
      <c r="R22" s="3"/>
      <c r="S22" s="3"/>
      <c r="T22" s="3"/>
      <c r="U22" s="3"/>
      <c r="V22" s="3"/>
      <c r="W22" s="3"/>
      <c r="X22" s="3"/>
      <c r="Y22" s="3"/>
      <c r="Z22" s="3"/>
    </row>
    <row r="23" ht="39.75" customHeight="1">
      <c r="A23" s="12" t="s">
        <v>567</v>
      </c>
      <c r="B23" s="12" t="s">
        <v>507</v>
      </c>
      <c r="C23" s="12" t="s">
        <v>568</v>
      </c>
      <c r="D23" s="12" t="s">
        <v>569</v>
      </c>
      <c r="E23" s="12" t="s">
        <v>252</v>
      </c>
      <c r="F23" s="12" t="s">
        <v>240</v>
      </c>
      <c r="G23" s="3"/>
      <c r="H23" s="3"/>
      <c r="I23" s="3"/>
      <c r="J23" s="3"/>
      <c r="K23" s="3"/>
      <c r="L23" s="3"/>
      <c r="M23" s="3"/>
      <c r="N23" s="3"/>
      <c r="O23" s="3"/>
      <c r="P23" s="3"/>
      <c r="Q23" s="3"/>
      <c r="R23" s="3"/>
      <c r="S23" s="3"/>
      <c r="T23" s="3"/>
      <c r="U23" s="3"/>
      <c r="V23" s="3"/>
      <c r="W23" s="3"/>
      <c r="X23" s="3"/>
      <c r="Y23" s="3"/>
      <c r="Z23" s="3"/>
    </row>
    <row r="24" ht="39.75" customHeight="1">
      <c r="A24" s="12" t="s">
        <v>570</v>
      </c>
      <c r="B24" s="12" t="s">
        <v>525</v>
      </c>
      <c r="C24" s="12" t="s">
        <v>571</v>
      </c>
      <c r="D24" s="12" t="s">
        <v>572</v>
      </c>
      <c r="E24" s="12" t="s">
        <v>252</v>
      </c>
      <c r="F24" s="12" t="s">
        <v>482</v>
      </c>
      <c r="G24" s="3"/>
      <c r="H24" s="3"/>
      <c r="I24" s="3"/>
      <c r="J24" s="3"/>
      <c r="K24" s="3"/>
      <c r="L24" s="3"/>
      <c r="M24" s="3"/>
      <c r="N24" s="3"/>
      <c r="O24" s="3"/>
      <c r="P24" s="3"/>
      <c r="Q24" s="3"/>
      <c r="R24" s="3"/>
      <c r="S24" s="3"/>
      <c r="T24" s="3"/>
      <c r="U24" s="3"/>
      <c r="V24" s="3"/>
      <c r="W24" s="3"/>
      <c r="X24" s="3"/>
      <c r="Y24" s="3"/>
      <c r="Z24" s="3"/>
    </row>
    <row r="25" ht="39.75" customHeight="1">
      <c r="A25" s="12" t="s">
        <v>573</v>
      </c>
      <c r="B25" s="12" t="s">
        <v>507</v>
      </c>
      <c r="C25" s="12" t="s">
        <v>574</v>
      </c>
      <c r="D25" s="12" t="s">
        <v>575</v>
      </c>
      <c r="E25" s="12" t="s">
        <v>252</v>
      </c>
      <c r="F25" s="12" t="s">
        <v>297</v>
      </c>
      <c r="G25" s="3"/>
      <c r="H25" s="3"/>
      <c r="I25" s="3"/>
      <c r="J25" s="3"/>
      <c r="K25" s="3"/>
      <c r="L25" s="3"/>
      <c r="M25" s="3"/>
      <c r="N25" s="3"/>
      <c r="O25" s="3"/>
      <c r="P25" s="3"/>
      <c r="Q25" s="3"/>
      <c r="R25" s="3"/>
      <c r="S25" s="3"/>
      <c r="T25" s="3"/>
      <c r="U25" s="3"/>
      <c r="V25" s="3"/>
      <c r="W25" s="3"/>
      <c r="X25" s="3"/>
      <c r="Y25" s="3"/>
      <c r="Z25" s="3"/>
    </row>
    <row r="26" ht="33.75" customHeight="1">
      <c r="A26" s="25" t="s">
        <v>576</v>
      </c>
      <c r="B26" s="25"/>
      <c r="C26" s="25"/>
      <c r="D26" s="25"/>
      <c r="E26" s="25"/>
      <c r="F26" s="25"/>
      <c r="G26" s="3"/>
      <c r="H26" s="3"/>
      <c r="I26" s="3"/>
      <c r="J26" s="3"/>
      <c r="K26" s="3"/>
      <c r="L26" s="3"/>
      <c r="M26" s="3"/>
      <c r="N26" s="3"/>
      <c r="O26" s="3"/>
      <c r="P26" s="3"/>
      <c r="Q26" s="3"/>
      <c r="R26" s="3"/>
      <c r="S26" s="3"/>
      <c r="T26" s="3"/>
      <c r="U26" s="3"/>
      <c r="V26" s="3"/>
      <c r="W26" s="3"/>
      <c r="X26" s="3"/>
      <c r="Y26" s="3"/>
      <c r="Z26" s="3"/>
    </row>
    <row r="27" ht="33.75" customHeight="1">
      <c r="A27" s="26" t="s">
        <v>577</v>
      </c>
      <c r="B27" s="26"/>
      <c r="C27" s="26"/>
      <c r="D27" s="26"/>
      <c r="E27" s="26"/>
      <c r="F27" s="26"/>
      <c r="G27" s="3"/>
      <c r="H27" s="3"/>
      <c r="I27" s="3"/>
      <c r="J27" s="3"/>
      <c r="K27" s="3"/>
      <c r="L27" s="3"/>
      <c r="M27" s="3"/>
      <c r="N27" s="3"/>
      <c r="O27" s="3"/>
      <c r="P27" s="3"/>
      <c r="Q27" s="3"/>
      <c r="R27" s="3"/>
      <c r="S27" s="3"/>
      <c r="T27" s="3"/>
      <c r="U27" s="3"/>
      <c r="V27" s="3"/>
      <c r="W27" s="3"/>
      <c r="X27" s="3"/>
      <c r="Y27" s="3"/>
      <c r="Z27" s="3"/>
    </row>
    <row r="28" ht="33.75" customHeight="1">
      <c r="A28" s="25" t="s">
        <v>579</v>
      </c>
      <c r="B28" s="25"/>
      <c r="C28" s="25"/>
      <c r="D28" s="25"/>
      <c r="E28" s="25"/>
      <c r="F28" s="25"/>
      <c r="G28" s="3"/>
      <c r="H28" s="3"/>
      <c r="I28" s="3"/>
      <c r="J28" s="3"/>
      <c r="K28" s="3"/>
      <c r="L28" s="3"/>
      <c r="M28" s="3"/>
      <c r="N28" s="3"/>
      <c r="O28" s="3"/>
      <c r="P28" s="3"/>
      <c r="Q28" s="3"/>
      <c r="R28" s="3"/>
      <c r="S28" s="3"/>
      <c r="T28" s="3"/>
      <c r="U28" s="3"/>
      <c r="V28" s="3"/>
      <c r="W28" s="3"/>
      <c r="X28" s="3"/>
      <c r="Y28" s="3"/>
      <c r="Z28" s="3"/>
    </row>
    <row r="29" ht="33.75" customHeight="1">
      <c r="A29" s="26" t="s">
        <v>580</v>
      </c>
      <c r="B29" s="26"/>
      <c r="C29" s="26"/>
      <c r="D29" s="26"/>
      <c r="E29" s="26"/>
      <c r="F29" s="26"/>
      <c r="G29" s="3"/>
      <c r="H29" s="3"/>
      <c r="I29" s="3"/>
      <c r="J29" s="3"/>
      <c r="K29" s="3"/>
      <c r="L29" s="3"/>
      <c r="M29" s="3"/>
      <c r="N29" s="3"/>
      <c r="O29" s="3"/>
      <c r="P29" s="3"/>
      <c r="Q29" s="3"/>
      <c r="R29" s="3"/>
      <c r="S29" s="3"/>
      <c r="T29" s="3"/>
      <c r="U29" s="3"/>
      <c r="V29" s="3"/>
      <c r="W29" s="3"/>
      <c r="X29" s="3"/>
      <c r="Y29" s="3"/>
      <c r="Z29" s="3"/>
    </row>
    <row r="30" ht="33.75" customHeight="1">
      <c r="A30" s="25" t="s">
        <v>582</v>
      </c>
      <c r="B30" s="25"/>
      <c r="C30" s="25"/>
      <c r="D30" s="25"/>
      <c r="E30" s="25"/>
      <c r="F30" s="25"/>
      <c r="G30" s="3"/>
      <c r="H30" s="3"/>
      <c r="I30" s="3"/>
      <c r="J30" s="3"/>
      <c r="K30" s="3"/>
      <c r="L30" s="3"/>
      <c r="M30" s="3"/>
      <c r="N30" s="3"/>
      <c r="O30" s="3"/>
      <c r="P30" s="3"/>
      <c r="Q30" s="3"/>
      <c r="R30" s="3"/>
      <c r="S30" s="3"/>
      <c r="T30" s="3"/>
      <c r="U30" s="3"/>
      <c r="V30" s="3"/>
      <c r="W30" s="3"/>
      <c r="X30" s="3"/>
      <c r="Y30" s="3"/>
      <c r="Z30" s="3"/>
    </row>
    <row r="31" ht="33.75" customHeight="1">
      <c r="A31" s="26" t="s">
        <v>583</v>
      </c>
      <c r="B31" s="26"/>
      <c r="C31" s="26"/>
      <c r="D31" s="26"/>
      <c r="E31" s="26"/>
      <c r="F31" s="26"/>
      <c r="G31" s="3"/>
      <c r="H31" s="3"/>
      <c r="I31" s="3"/>
      <c r="J31" s="3"/>
      <c r="K31" s="3"/>
      <c r="L31" s="3"/>
      <c r="M31" s="3"/>
      <c r="N31" s="3"/>
      <c r="O31" s="3"/>
      <c r="P31" s="3"/>
      <c r="Q31" s="3"/>
      <c r="R31" s="3"/>
      <c r="S31" s="3"/>
      <c r="T31" s="3"/>
      <c r="U31" s="3"/>
      <c r="V31" s="3"/>
      <c r="W31" s="3"/>
      <c r="X31" s="3"/>
      <c r="Y31" s="3"/>
      <c r="Z31" s="3"/>
    </row>
    <row r="32" ht="33.75" customHeight="1">
      <c r="A32" s="25" t="s">
        <v>584</v>
      </c>
      <c r="B32" s="25"/>
      <c r="C32" s="25"/>
      <c r="D32" s="25"/>
      <c r="E32" s="25"/>
      <c r="F32" s="25"/>
      <c r="G32" s="3"/>
      <c r="H32" s="3"/>
      <c r="I32" s="3"/>
      <c r="J32" s="3"/>
      <c r="K32" s="3"/>
      <c r="L32" s="3"/>
      <c r="M32" s="3"/>
      <c r="N32" s="3"/>
      <c r="O32" s="3"/>
      <c r="P32" s="3"/>
      <c r="Q32" s="3"/>
      <c r="R32" s="3"/>
      <c r="S32" s="3"/>
      <c r="T32" s="3"/>
      <c r="U32" s="3"/>
      <c r="V32" s="3"/>
      <c r="W32" s="3"/>
      <c r="X32" s="3"/>
      <c r="Y32" s="3"/>
      <c r="Z32" s="3"/>
    </row>
    <row r="33" ht="33.75" customHeight="1">
      <c r="A33" s="26" t="s">
        <v>588</v>
      </c>
      <c r="B33" s="26"/>
      <c r="C33" s="26"/>
      <c r="D33" s="26"/>
      <c r="E33" s="26"/>
      <c r="F33" s="26"/>
      <c r="G33" s="3"/>
      <c r="H33" s="3"/>
      <c r="I33" s="3"/>
      <c r="J33" s="3"/>
      <c r="K33" s="3"/>
      <c r="L33" s="3"/>
      <c r="M33" s="3"/>
      <c r="N33" s="3"/>
      <c r="O33" s="3"/>
      <c r="P33" s="3"/>
      <c r="Q33" s="3"/>
      <c r="R33" s="3"/>
      <c r="S33" s="3"/>
      <c r="T33" s="3"/>
      <c r="U33" s="3"/>
      <c r="V33" s="3"/>
      <c r="W33" s="3"/>
      <c r="X33" s="3"/>
      <c r="Y33" s="3"/>
      <c r="Z33" s="3"/>
    </row>
    <row r="34" ht="33.75" customHeight="1">
      <c r="A34" s="25" t="s">
        <v>589</v>
      </c>
      <c r="B34" s="25"/>
      <c r="C34" s="25"/>
      <c r="D34" s="25"/>
      <c r="E34" s="25"/>
      <c r="F34" s="25"/>
      <c r="G34" s="3"/>
      <c r="H34" s="3"/>
      <c r="I34" s="3"/>
      <c r="J34" s="3"/>
      <c r="K34" s="3"/>
      <c r="L34" s="3"/>
      <c r="M34" s="3"/>
      <c r="N34" s="3"/>
      <c r="O34" s="3"/>
      <c r="P34" s="3"/>
      <c r="Q34" s="3"/>
      <c r="R34" s="3"/>
      <c r="S34" s="3"/>
      <c r="T34" s="3"/>
      <c r="U34" s="3"/>
      <c r="V34" s="3"/>
      <c r="W34" s="3"/>
      <c r="X34" s="3"/>
      <c r="Y34" s="3"/>
      <c r="Z34" s="3"/>
    </row>
    <row r="35" ht="33.75" customHeight="1">
      <c r="A35" s="26" t="s">
        <v>591</v>
      </c>
      <c r="B35" s="26"/>
      <c r="C35" s="26"/>
      <c r="D35" s="26"/>
      <c r="E35" s="26"/>
      <c r="F35" s="26"/>
      <c r="G35" s="3"/>
      <c r="H35" s="3"/>
      <c r="I35" s="3"/>
      <c r="J35" s="3"/>
      <c r="K35" s="3"/>
      <c r="L35" s="3"/>
      <c r="M35" s="3"/>
      <c r="N35" s="3"/>
      <c r="O35" s="3"/>
      <c r="P35" s="3"/>
      <c r="Q35" s="3"/>
      <c r="R35" s="3"/>
      <c r="S35" s="3"/>
      <c r="T35" s="3"/>
      <c r="U35" s="3"/>
      <c r="V35" s="3"/>
      <c r="W35" s="3"/>
      <c r="X35" s="3"/>
      <c r="Y35" s="3"/>
      <c r="Z35" s="3"/>
    </row>
    <row r="36" ht="33.75" customHeight="1">
      <c r="A36" s="25" t="s">
        <v>597</v>
      </c>
      <c r="B36" s="25"/>
      <c r="C36" s="25"/>
      <c r="D36" s="25"/>
      <c r="E36" s="25"/>
      <c r="F36" s="25"/>
      <c r="G36" s="3"/>
      <c r="H36" s="3"/>
      <c r="I36" s="3"/>
      <c r="J36" s="3"/>
      <c r="K36" s="3"/>
      <c r="L36" s="3"/>
      <c r="M36" s="3"/>
      <c r="N36" s="3"/>
      <c r="O36" s="3"/>
      <c r="P36" s="3"/>
      <c r="Q36" s="3"/>
      <c r="R36" s="3"/>
      <c r="S36" s="3"/>
      <c r="T36" s="3"/>
      <c r="U36" s="3"/>
      <c r="V36" s="3"/>
      <c r="W36" s="3"/>
      <c r="X36" s="3"/>
      <c r="Y36" s="3"/>
      <c r="Z36" s="3"/>
    </row>
    <row r="37" ht="33.75" customHeight="1">
      <c r="A37" s="26" t="s">
        <v>600</v>
      </c>
      <c r="B37" s="26"/>
      <c r="C37" s="26"/>
      <c r="D37" s="26"/>
      <c r="E37" s="26"/>
      <c r="F37" s="26"/>
      <c r="G37" s="3"/>
      <c r="H37" s="3"/>
      <c r="I37" s="3"/>
      <c r="J37" s="3"/>
      <c r="K37" s="3"/>
      <c r="L37" s="3"/>
      <c r="M37" s="3"/>
      <c r="N37" s="3"/>
      <c r="O37" s="3"/>
      <c r="P37" s="3"/>
      <c r="Q37" s="3"/>
      <c r="R37" s="3"/>
      <c r="S37" s="3"/>
      <c r="T37" s="3"/>
      <c r="U37" s="3"/>
      <c r="V37" s="3"/>
      <c r="W37" s="3"/>
      <c r="X37" s="3"/>
      <c r="Y37" s="3"/>
      <c r="Z37" s="3"/>
    </row>
    <row r="38" ht="33.75" customHeight="1">
      <c r="A38" s="25" t="s">
        <v>604</v>
      </c>
      <c r="B38" s="25"/>
      <c r="C38" s="25"/>
      <c r="D38" s="25"/>
      <c r="E38" s="25"/>
      <c r="F38" s="25"/>
      <c r="G38" s="3"/>
      <c r="H38" s="3"/>
      <c r="I38" s="3"/>
      <c r="J38" s="3"/>
      <c r="K38" s="3"/>
      <c r="L38" s="3"/>
      <c r="M38" s="3"/>
      <c r="N38" s="3"/>
      <c r="O38" s="3"/>
      <c r="P38" s="3"/>
      <c r="Q38" s="3"/>
      <c r="R38" s="3"/>
      <c r="S38" s="3"/>
      <c r="T38" s="3"/>
      <c r="U38" s="3"/>
      <c r="V38" s="3"/>
      <c r="W38" s="3"/>
      <c r="X38" s="3"/>
      <c r="Y38" s="3"/>
      <c r="Z38" s="3"/>
    </row>
    <row r="39" ht="33.75" customHeight="1">
      <c r="A39" s="26" t="s">
        <v>609</v>
      </c>
      <c r="B39" s="26"/>
      <c r="C39" s="26"/>
      <c r="D39" s="26"/>
      <c r="E39" s="26"/>
      <c r="F39" s="26"/>
      <c r="G39" s="3"/>
      <c r="H39" s="3"/>
      <c r="I39" s="3"/>
      <c r="J39" s="3"/>
      <c r="K39" s="3"/>
      <c r="L39" s="3"/>
      <c r="M39" s="3"/>
      <c r="N39" s="3"/>
      <c r="O39" s="3"/>
      <c r="P39" s="3"/>
      <c r="Q39" s="3"/>
      <c r="R39" s="3"/>
      <c r="S39" s="3"/>
      <c r="T39" s="3"/>
      <c r="U39" s="3"/>
      <c r="V39" s="3"/>
      <c r="W39" s="3"/>
      <c r="X39" s="3"/>
      <c r="Y39" s="3"/>
      <c r="Z39" s="3"/>
    </row>
    <row r="40" ht="33.75" customHeight="1">
      <c r="A40" s="25" t="s">
        <v>611</v>
      </c>
      <c r="B40" s="25"/>
      <c r="C40" s="25"/>
      <c r="D40" s="25"/>
      <c r="E40" s="25"/>
      <c r="F40" s="25"/>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2">
    <mergeCell ref="A1:G1"/>
    <mergeCell ref="A2:G2"/>
  </mergeCells>
  <dataValidations>
    <dataValidation type="list" allowBlank="1" showInputMessage="1" showErrorMessage="1" prompt="Valor no admitido - Estados admitidos: Validada, Pendiente o En disputa." sqref="E5:E40">
      <formula1>"Validada,Pendiente,En disputa"</formula1>
    </dataValidation>
    <dataValidation type="list" allowBlank="1" showInputMessage="1" showErrorMessage="1" prompt="Valor no admitido - Tipos admitidos: Restricción, Derivación o Existencia." sqref="B5:B40">
      <formula1>"Restricción,Derivación,Existencia"</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75.86"/>
    <col customWidth="1" min="3" max="3" width="87.14"/>
    <col customWidth="1" min="4" max="4" width="20.0"/>
    <col customWidth="1" min="5" max="5" width="37.71"/>
    <col customWidth="1" min="6" max="6" width="36.0"/>
  </cols>
  <sheetData>
    <row r="1" ht="19.5" customHeight="1">
      <c r="A1" s="2" t="s">
        <v>578</v>
      </c>
      <c r="G1" s="3"/>
      <c r="H1" s="3"/>
      <c r="I1" s="3"/>
      <c r="J1" s="3"/>
      <c r="K1" s="3"/>
      <c r="L1" s="3"/>
      <c r="M1" s="3"/>
      <c r="N1" s="3"/>
      <c r="O1" s="3"/>
      <c r="P1" s="3"/>
      <c r="Q1" s="3"/>
      <c r="R1" s="3"/>
      <c r="S1" s="3"/>
      <c r="T1" s="3"/>
      <c r="U1" s="3"/>
      <c r="V1" s="3"/>
      <c r="W1" s="3"/>
      <c r="X1" s="3"/>
      <c r="Y1" s="3"/>
      <c r="Z1" s="3"/>
    </row>
    <row r="2" ht="39.75" customHeight="1">
      <c r="A2" s="5" t="s">
        <v>581</v>
      </c>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30.0" customHeight="1">
      <c r="A4" s="7" t="s">
        <v>501</v>
      </c>
      <c r="B4" s="7" t="s">
        <v>585</v>
      </c>
      <c r="C4" s="7" t="s">
        <v>586</v>
      </c>
      <c r="D4" s="7" t="s">
        <v>587</v>
      </c>
      <c r="E4" s="7" t="s">
        <v>504</v>
      </c>
      <c r="F4" s="7" t="s">
        <v>503</v>
      </c>
      <c r="G4" s="3"/>
      <c r="H4" s="3"/>
      <c r="I4" s="3"/>
      <c r="J4" s="3"/>
      <c r="K4" s="3"/>
      <c r="L4" s="3"/>
      <c r="M4" s="3"/>
      <c r="N4" s="3"/>
      <c r="O4" s="3"/>
      <c r="P4" s="3"/>
      <c r="Q4" s="3"/>
      <c r="R4" s="3"/>
      <c r="S4" s="3"/>
      <c r="T4" s="3"/>
      <c r="U4" s="3"/>
      <c r="V4" s="3"/>
      <c r="W4" s="3"/>
      <c r="X4" s="3"/>
      <c r="Y4" s="3"/>
      <c r="Z4" s="3"/>
    </row>
    <row r="5" ht="39.75" customHeight="1">
      <c r="A5" s="24" t="s">
        <v>590</v>
      </c>
      <c r="B5" s="12" t="s">
        <v>592</v>
      </c>
      <c r="C5" s="12" t="s">
        <v>593</v>
      </c>
      <c r="D5" s="12" t="s">
        <v>594</v>
      </c>
      <c r="E5" s="12" t="s">
        <v>595</v>
      </c>
      <c r="F5" s="12" t="s">
        <v>596</v>
      </c>
      <c r="G5" s="3"/>
      <c r="H5" s="3"/>
      <c r="I5" s="3"/>
      <c r="J5" s="3"/>
      <c r="K5" s="3"/>
      <c r="L5" s="3"/>
      <c r="M5" s="3"/>
      <c r="N5" s="3"/>
      <c r="O5" s="3"/>
      <c r="P5" s="3"/>
      <c r="Q5" s="3"/>
      <c r="R5" s="3"/>
      <c r="S5" s="3"/>
      <c r="T5" s="3"/>
      <c r="U5" s="3"/>
      <c r="V5" s="3"/>
      <c r="W5" s="3"/>
      <c r="X5" s="3"/>
      <c r="Y5" s="3"/>
      <c r="Z5" s="3"/>
    </row>
    <row r="6" ht="40.5" customHeight="1">
      <c r="A6" s="15" t="s">
        <v>598</v>
      </c>
      <c r="B6" s="15" t="s">
        <v>599</v>
      </c>
      <c r="C6" s="15" t="s">
        <v>601</v>
      </c>
      <c r="D6" s="15" t="s">
        <v>594</v>
      </c>
      <c r="E6" s="15" t="s">
        <v>602</v>
      </c>
      <c r="F6" s="15" t="s">
        <v>603</v>
      </c>
      <c r="G6" s="3"/>
      <c r="H6" s="3"/>
      <c r="I6" s="3"/>
      <c r="J6" s="3"/>
      <c r="K6" s="3"/>
      <c r="L6" s="3"/>
      <c r="M6" s="3"/>
      <c r="N6" s="3"/>
      <c r="O6" s="3"/>
      <c r="P6" s="3"/>
      <c r="Q6" s="3"/>
      <c r="R6" s="3"/>
      <c r="S6" s="3"/>
      <c r="T6" s="3"/>
      <c r="U6" s="3"/>
      <c r="V6" s="3"/>
      <c r="W6" s="3"/>
      <c r="X6" s="3"/>
      <c r="Y6" s="3"/>
      <c r="Z6" s="3"/>
    </row>
    <row r="7" ht="40.5" customHeight="1">
      <c r="A7" s="24" t="s">
        <v>605</v>
      </c>
      <c r="B7" s="12" t="s">
        <v>606</v>
      </c>
      <c r="C7" s="12" t="s">
        <v>607</v>
      </c>
      <c r="D7" s="12" t="s">
        <v>594</v>
      </c>
      <c r="E7" s="12" t="s">
        <v>595</v>
      </c>
      <c r="F7" s="12" t="s">
        <v>608</v>
      </c>
      <c r="G7" s="3"/>
      <c r="H7" s="3"/>
      <c r="I7" s="3"/>
      <c r="J7" s="3"/>
      <c r="K7" s="3"/>
      <c r="L7" s="3"/>
      <c r="M7" s="3"/>
      <c r="N7" s="3"/>
      <c r="O7" s="3"/>
      <c r="P7" s="3"/>
      <c r="Q7" s="3"/>
      <c r="R7" s="3"/>
      <c r="S7" s="3"/>
      <c r="T7" s="3"/>
      <c r="U7" s="3"/>
      <c r="V7" s="3"/>
      <c r="W7" s="3"/>
      <c r="X7" s="3"/>
      <c r="Y7" s="3"/>
      <c r="Z7" s="3"/>
    </row>
    <row r="8" ht="39.75" customHeight="1">
      <c r="A8" s="15" t="s">
        <v>610</v>
      </c>
      <c r="B8" s="15" t="s">
        <v>612</v>
      </c>
      <c r="C8" s="15" t="s">
        <v>613</v>
      </c>
      <c r="D8" s="15" t="s">
        <v>614</v>
      </c>
      <c r="E8" s="15" t="s">
        <v>615</v>
      </c>
      <c r="F8" s="15" t="s">
        <v>616</v>
      </c>
      <c r="G8" s="3"/>
      <c r="H8" s="3"/>
      <c r="I8" s="3"/>
      <c r="J8" s="3"/>
      <c r="K8" s="3"/>
      <c r="L8" s="3"/>
      <c r="M8" s="3"/>
      <c r="N8" s="3"/>
      <c r="O8" s="3"/>
      <c r="P8" s="3"/>
      <c r="Q8" s="3"/>
      <c r="R8" s="3"/>
      <c r="S8" s="3"/>
      <c r="T8" s="3"/>
      <c r="U8" s="3"/>
      <c r="V8" s="3"/>
      <c r="W8" s="3"/>
      <c r="X8" s="3"/>
      <c r="Y8" s="3"/>
      <c r="Z8" s="3"/>
    </row>
    <row r="9" ht="39.75" customHeight="1">
      <c r="A9" s="24" t="s">
        <v>617</v>
      </c>
      <c r="B9" s="12" t="s">
        <v>618</v>
      </c>
      <c r="C9" s="12" t="s">
        <v>619</v>
      </c>
      <c r="D9" s="12" t="s">
        <v>594</v>
      </c>
      <c r="E9" s="12" t="s">
        <v>595</v>
      </c>
      <c r="F9" s="12" t="s">
        <v>620</v>
      </c>
      <c r="G9" s="3"/>
      <c r="H9" s="3"/>
      <c r="I9" s="3"/>
      <c r="J9" s="3"/>
      <c r="K9" s="3"/>
      <c r="L9" s="3"/>
      <c r="M9" s="3"/>
      <c r="N9" s="3"/>
      <c r="O9" s="3"/>
      <c r="P9" s="3"/>
      <c r="Q9" s="3"/>
      <c r="R9" s="3"/>
      <c r="S9" s="3"/>
      <c r="T9" s="3"/>
      <c r="U9" s="3"/>
      <c r="V9" s="3"/>
      <c r="W9" s="3"/>
      <c r="X9" s="3"/>
      <c r="Y9" s="3"/>
      <c r="Z9" s="3"/>
    </row>
    <row r="10" ht="40.5" customHeight="1">
      <c r="A10" s="15" t="s">
        <v>621</v>
      </c>
      <c r="B10" s="15" t="s">
        <v>622</v>
      </c>
      <c r="C10" s="15" t="s">
        <v>623</v>
      </c>
      <c r="D10" s="15" t="s">
        <v>594</v>
      </c>
      <c r="E10" s="15" t="s">
        <v>624</v>
      </c>
      <c r="F10" s="15" t="s">
        <v>216</v>
      </c>
      <c r="G10" s="3"/>
      <c r="H10" s="3"/>
      <c r="I10" s="3"/>
      <c r="J10" s="3"/>
      <c r="K10" s="3"/>
      <c r="L10" s="3"/>
      <c r="M10" s="3"/>
      <c r="N10" s="3"/>
      <c r="O10" s="3"/>
      <c r="P10" s="3"/>
      <c r="Q10" s="3"/>
      <c r="R10" s="3"/>
      <c r="S10" s="3"/>
      <c r="T10" s="3"/>
      <c r="U10" s="3"/>
      <c r="V10" s="3"/>
      <c r="W10" s="3"/>
      <c r="X10" s="3"/>
      <c r="Y10" s="3"/>
      <c r="Z10" s="3"/>
    </row>
    <row r="11" ht="40.5" customHeight="1">
      <c r="A11" s="15" t="s">
        <v>625</v>
      </c>
      <c r="B11" s="15" t="s">
        <v>626</v>
      </c>
      <c r="C11" s="15" t="s">
        <v>627</v>
      </c>
      <c r="D11" s="15" t="s">
        <v>628</v>
      </c>
      <c r="E11" s="15" t="s">
        <v>629</v>
      </c>
      <c r="F11" s="15" t="s">
        <v>630</v>
      </c>
      <c r="G11" s="3"/>
      <c r="H11" s="3"/>
      <c r="I11" s="3"/>
      <c r="J11" s="3"/>
      <c r="K11" s="3"/>
      <c r="L11" s="3"/>
      <c r="M11" s="3"/>
      <c r="N11" s="3"/>
      <c r="O11" s="3"/>
      <c r="P11" s="3"/>
      <c r="Q11" s="3"/>
      <c r="R11" s="3"/>
      <c r="S11" s="3"/>
      <c r="T11" s="3"/>
      <c r="U11" s="3"/>
      <c r="V11" s="3"/>
      <c r="W11" s="3"/>
      <c r="X11" s="3"/>
      <c r="Y11" s="3"/>
      <c r="Z11" s="3"/>
    </row>
    <row r="12" ht="40.5" customHeight="1">
      <c r="A12" s="15" t="s">
        <v>631</v>
      </c>
      <c r="B12" s="15" t="s">
        <v>632</v>
      </c>
      <c r="C12" s="15" t="s">
        <v>633</v>
      </c>
      <c r="D12" s="15" t="s">
        <v>594</v>
      </c>
      <c r="E12" s="15" t="s">
        <v>634</v>
      </c>
      <c r="F12" s="15" t="s">
        <v>635</v>
      </c>
      <c r="G12" s="3"/>
      <c r="H12" s="3"/>
      <c r="I12" s="3"/>
      <c r="J12" s="3"/>
      <c r="K12" s="3"/>
      <c r="L12" s="3"/>
      <c r="M12" s="3"/>
      <c r="N12" s="3"/>
      <c r="O12" s="3"/>
      <c r="P12" s="3"/>
      <c r="Q12" s="3"/>
      <c r="R12" s="3"/>
      <c r="S12" s="3"/>
      <c r="T12" s="3"/>
      <c r="U12" s="3"/>
      <c r="V12" s="3"/>
      <c r="W12" s="3"/>
      <c r="X12" s="3"/>
      <c r="Y12" s="3"/>
      <c r="Z12" s="3"/>
    </row>
    <row r="13" ht="40.5" customHeight="1">
      <c r="A13" s="15" t="s">
        <v>636</v>
      </c>
      <c r="B13" s="15" t="s">
        <v>637</v>
      </c>
      <c r="C13" s="15" t="s">
        <v>638</v>
      </c>
      <c r="D13" s="15" t="s">
        <v>594</v>
      </c>
      <c r="E13" s="15" t="s">
        <v>634</v>
      </c>
      <c r="F13" s="15" t="s">
        <v>639</v>
      </c>
      <c r="G13" s="3"/>
      <c r="H13" s="3"/>
      <c r="I13" s="3"/>
      <c r="J13" s="3"/>
      <c r="K13" s="3"/>
      <c r="L13" s="3"/>
      <c r="M13" s="3"/>
      <c r="N13" s="3"/>
      <c r="O13" s="3"/>
      <c r="P13" s="3"/>
      <c r="Q13" s="3"/>
      <c r="R13" s="3"/>
      <c r="S13" s="3"/>
      <c r="T13" s="3"/>
      <c r="U13" s="3"/>
      <c r="V13" s="3"/>
      <c r="W13" s="3"/>
      <c r="X13" s="3"/>
      <c r="Y13" s="3"/>
      <c r="Z13" s="3"/>
    </row>
    <row r="14" ht="51.75" customHeight="1">
      <c r="A14" s="15" t="s">
        <v>640</v>
      </c>
      <c r="B14" s="15" t="s">
        <v>641</v>
      </c>
      <c r="C14" s="15" t="s">
        <v>642</v>
      </c>
      <c r="D14" s="15" t="s">
        <v>614</v>
      </c>
      <c r="E14" s="15" t="s">
        <v>643</v>
      </c>
      <c r="F14" s="15" t="s">
        <v>644</v>
      </c>
      <c r="G14" s="3"/>
      <c r="H14" s="3"/>
      <c r="I14" s="3"/>
      <c r="J14" s="3"/>
      <c r="K14" s="3"/>
      <c r="L14" s="3"/>
      <c r="M14" s="3"/>
      <c r="N14" s="3"/>
      <c r="O14" s="3"/>
      <c r="P14" s="3"/>
      <c r="Q14" s="3"/>
      <c r="R14" s="3"/>
      <c r="S14" s="3"/>
      <c r="T14" s="3"/>
      <c r="U14" s="3"/>
      <c r="V14" s="3"/>
      <c r="W14" s="3"/>
      <c r="X14" s="3"/>
      <c r="Y14" s="3"/>
      <c r="Z14" s="3"/>
    </row>
    <row r="15" ht="15.0"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0"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0"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F1"/>
    <mergeCell ref="A2:F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86"/>
    <col customWidth="1" min="2" max="2" width="105.0"/>
    <col customWidth="1" min="3" max="3" width="78.71"/>
    <col customWidth="1" min="4" max="4" width="34.71"/>
    <col customWidth="1" min="5" max="5" width="11.86"/>
    <col customWidth="1" min="6" max="6" width="8.71"/>
  </cols>
  <sheetData>
    <row r="1" ht="19.5" customHeight="1">
      <c r="A1" s="2" t="s">
        <v>645</v>
      </c>
      <c r="H1" s="3"/>
      <c r="I1" s="3"/>
      <c r="J1" s="3"/>
      <c r="K1" s="3"/>
      <c r="L1" s="3"/>
      <c r="M1" s="3"/>
      <c r="N1" s="3"/>
      <c r="O1" s="3"/>
      <c r="P1" s="3"/>
      <c r="Q1" s="3"/>
      <c r="R1" s="3"/>
      <c r="S1" s="3"/>
      <c r="T1" s="3"/>
      <c r="U1" s="3"/>
      <c r="V1" s="3"/>
      <c r="W1" s="3"/>
      <c r="X1" s="3"/>
      <c r="Y1" s="3"/>
      <c r="Z1" s="3"/>
    </row>
    <row r="2" ht="25.5" customHeight="1">
      <c r="A2" s="5" t="s">
        <v>646</v>
      </c>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30.0" customHeight="1">
      <c r="A4" s="7" t="s">
        <v>647</v>
      </c>
      <c r="B4" s="7" t="s">
        <v>648</v>
      </c>
      <c r="C4" s="7" t="s">
        <v>649</v>
      </c>
      <c r="D4" s="7" t="s">
        <v>650</v>
      </c>
      <c r="E4" s="7" t="s">
        <v>651</v>
      </c>
      <c r="F4" s="3"/>
      <c r="G4" s="3"/>
      <c r="H4" s="3"/>
      <c r="I4" s="3"/>
      <c r="J4" s="3"/>
      <c r="K4" s="3"/>
      <c r="L4" s="3"/>
      <c r="M4" s="3"/>
      <c r="N4" s="3"/>
      <c r="O4" s="3"/>
      <c r="P4" s="3"/>
      <c r="Q4" s="3"/>
      <c r="R4" s="3"/>
      <c r="S4" s="3"/>
      <c r="T4" s="3"/>
      <c r="U4" s="3"/>
      <c r="V4" s="3"/>
      <c r="W4" s="3"/>
      <c r="X4" s="3"/>
      <c r="Y4" s="3"/>
      <c r="Z4" s="3"/>
    </row>
    <row r="5" ht="75.0" customHeight="1">
      <c r="A5" s="12" t="s">
        <v>67</v>
      </c>
      <c r="B5" s="12" t="s">
        <v>652</v>
      </c>
      <c r="C5" s="12" t="s">
        <v>653</v>
      </c>
      <c r="D5" s="12" t="s">
        <v>654</v>
      </c>
      <c r="E5" s="12" t="s">
        <v>158</v>
      </c>
      <c r="F5" s="3"/>
      <c r="G5" s="3"/>
      <c r="H5" s="3"/>
      <c r="I5" s="3"/>
      <c r="J5" s="3"/>
      <c r="K5" s="3"/>
      <c r="L5" s="3"/>
      <c r="M5" s="3"/>
      <c r="N5" s="3"/>
      <c r="O5" s="3"/>
      <c r="P5" s="3"/>
      <c r="Q5" s="3"/>
      <c r="R5" s="3"/>
      <c r="S5" s="3"/>
      <c r="T5" s="3"/>
      <c r="U5" s="3"/>
      <c r="V5" s="3"/>
      <c r="W5" s="3"/>
      <c r="X5" s="3"/>
      <c r="Y5" s="3"/>
      <c r="Z5" s="3"/>
    </row>
    <row r="6" ht="75.0" customHeight="1">
      <c r="A6" s="15" t="s">
        <v>172</v>
      </c>
      <c r="B6" s="15" t="s">
        <v>655</v>
      </c>
      <c r="C6" s="15" t="s">
        <v>656</v>
      </c>
      <c r="D6" s="15" t="s">
        <v>657</v>
      </c>
      <c r="E6" s="15" t="s">
        <v>158</v>
      </c>
      <c r="F6" s="3"/>
      <c r="G6" s="3"/>
      <c r="H6" s="3"/>
      <c r="I6" s="3"/>
      <c r="J6" s="3"/>
      <c r="K6" s="3"/>
      <c r="L6" s="3"/>
      <c r="M6" s="3"/>
      <c r="N6" s="3"/>
      <c r="O6" s="3"/>
      <c r="P6" s="3"/>
      <c r="Q6" s="3"/>
      <c r="R6" s="3"/>
      <c r="S6" s="3"/>
      <c r="T6" s="3"/>
      <c r="U6" s="3"/>
      <c r="V6" s="3"/>
      <c r="W6" s="3"/>
      <c r="X6" s="3"/>
      <c r="Y6" s="3"/>
      <c r="Z6" s="3"/>
    </row>
    <row r="7" ht="75.0" customHeight="1">
      <c r="A7" s="12" t="s">
        <v>658</v>
      </c>
      <c r="B7" s="12" t="s">
        <v>659</v>
      </c>
      <c r="C7" s="12" t="s">
        <v>660</v>
      </c>
      <c r="D7" s="12" t="s">
        <v>169</v>
      </c>
      <c r="E7" s="12" t="s">
        <v>158</v>
      </c>
      <c r="F7" s="3"/>
      <c r="G7" s="3"/>
      <c r="H7" s="3"/>
      <c r="I7" s="3"/>
      <c r="J7" s="3"/>
      <c r="K7" s="3"/>
      <c r="L7" s="3"/>
      <c r="M7" s="3"/>
      <c r="N7" s="3"/>
      <c r="O7" s="3"/>
      <c r="P7" s="3"/>
      <c r="Q7" s="3"/>
      <c r="R7" s="3"/>
      <c r="S7" s="3"/>
      <c r="T7" s="3"/>
      <c r="U7" s="3"/>
      <c r="V7" s="3"/>
      <c r="W7" s="3"/>
      <c r="X7" s="3"/>
      <c r="Y7" s="3"/>
      <c r="Z7" s="3"/>
    </row>
    <row r="8" ht="75.0" customHeight="1">
      <c r="A8" s="15" t="s">
        <v>661</v>
      </c>
      <c r="B8" s="15" t="s">
        <v>662</v>
      </c>
      <c r="C8" s="15" t="s">
        <v>663</v>
      </c>
      <c r="D8" s="15" t="s">
        <v>664</v>
      </c>
      <c r="E8" s="15" t="s">
        <v>158</v>
      </c>
      <c r="F8" s="3"/>
      <c r="G8" s="3"/>
      <c r="H8" s="3"/>
      <c r="I8" s="3"/>
      <c r="J8" s="3"/>
      <c r="K8" s="3"/>
      <c r="L8" s="3"/>
      <c r="M8" s="3"/>
      <c r="N8" s="3"/>
      <c r="O8" s="3"/>
      <c r="P8" s="3"/>
      <c r="Q8" s="3"/>
      <c r="R8" s="3"/>
      <c r="S8" s="3"/>
      <c r="T8" s="3"/>
      <c r="U8" s="3"/>
      <c r="V8" s="3"/>
      <c r="W8" s="3"/>
      <c r="X8" s="3"/>
      <c r="Y8" s="3"/>
      <c r="Z8" s="3"/>
    </row>
    <row r="9" ht="75.0" customHeight="1">
      <c r="A9" s="12" t="s">
        <v>665</v>
      </c>
      <c r="B9" s="12" t="s">
        <v>666</v>
      </c>
      <c r="C9" s="12" t="s">
        <v>667</v>
      </c>
      <c r="D9" s="12" t="s">
        <v>668</v>
      </c>
      <c r="E9" s="12" t="s">
        <v>158</v>
      </c>
      <c r="F9" s="3"/>
      <c r="G9" s="3"/>
      <c r="H9" s="3"/>
      <c r="I9" s="3"/>
      <c r="J9" s="3"/>
      <c r="K9" s="3"/>
      <c r="L9" s="3"/>
      <c r="M9" s="3"/>
      <c r="N9" s="3"/>
      <c r="O9" s="3"/>
      <c r="P9" s="3"/>
      <c r="Q9" s="3"/>
      <c r="R9" s="3"/>
      <c r="S9" s="3"/>
      <c r="T9" s="3"/>
      <c r="U9" s="3"/>
      <c r="V9" s="3"/>
      <c r="W9" s="3"/>
      <c r="X9" s="3"/>
      <c r="Y9" s="3"/>
      <c r="Z9" s="3"/>
    </row>
    <row r="10" ht="75.0" customHeight="1">
      <c r="A10" s="15" t="s">
        <v>669</v>
      </c>
      <c r="B10" s="15" t="s">
        <v>670</v>
      </c>
      <c r="C10" s="15" t="s">
        <v>671</v>
      </c>
      <c r="D10" s="15" t="s">
        <v>672</v>
      </c>
      <c r="E10" s="15" t="s">
        <v>158</v>
      </c>
      <c r="F10" s="3"/>
      <c r="G10" s="3"/>
      <c r="H10" s="3"/>
      <c r="I10" s="3"/>
      <c r="J10" s="3"/>
      <c r="K10" s="3"/>
      <c r="L10" s="3"/>
      <c r="M10" s="3"/>
      <c r="N10" s="3"/>
      <c r="O10" s="3"/>
      <c r="P10" s="3"/>
      <c r="Q10" s="3"/>
      <c r="R10" s="3"/>
      <c r="S10" s="3"/>
      <c r="T10" s="3"/>
      <c r="U10" s="3"/>
      <c r="V10" s="3"/>
      <c r="W10" s="3"/>
      <c r="X10" s="3"/>
      <c r="Y10" s="3"/>
      <c r="Z10" s="3"/>
    </row>
    <row r="11" ht="33.75" customHeight="1">
      <c r="A11" s="23"/>
      <c r="B11" s="23"/>
      <c r="C11" s="23"/>
      <c r="D11" s="23"/>
      <c r="E11" s="23"/>
      <c r="F11" s="3"/>
      <c r="G11" s="3"/>
      <c r="H11" s="3"/>
      <c r="I11" s="3"/>
      <c r="J11" s="3"/>
      <c r="K11" s="3"/>
      <c r="L11" s="3"/>
      <c r="M11" s="3"/>
      <c r="N11" s="3"/>
      <c r="O11" s="3"/>
      <c r="P11" s="3"/>
      <c r="Q11" s="3"/>
      <c r="R11" s="3"/>
      <c r="S11" s="3"/>
      <c r="T11" s="3"/>
      <c r="U11" s="3"/>
      <c r="V11" s="3"/>
      <c r="W11" s="3"/>
      <c r="X11" s="3"/>
      <c r="Y11" s="3"/>
      <c r="Z11" s="3"/>
    </row>
    <row r="12" ht="33.75" customHeight="1">
      <c r="A12" s="21"/>
      <c r="B12" s="21"/>
      <c r="C12" s="21"/>
      <c r="D12" s="21"/>
      <c r="E12" s="21"/>
      <c r="F12" s="3"/>
      <c r="G12" s="3"/>
      <c r="H12" s="3"/>
      <c r="I12" s="3"/>
      <c r="J12" s="3"/>
      <c r="K12" s="3"/>
      <c r="L12" s="3"/>
      <c r="M12" s="3"/>
      <c r="N12" s="3"/>
      <c r="O12" s="3"/>
      <c r="P12" s="3"/>
      <c r="Q12" s="3"/>
      <c r="R12" s="3"/>
      <c r="S12" s="3"/>
      <c r="T12" s="3"/>
      <c r="U12" s="3"/>
      <c r="V12" s="3"/>
      <c r="W12" s="3"/>
      <c r="X12" s="3"/>
      <c r="Y12" s="3"/>
      <c r="Z12" s="3"/>
    </row>
    <row r="13" ht="33.75" customHeight="1">
      <c r="A13" s="23"/>
      <c r="B13" s="23"/>
      <c r="C13" s="23"/>
      <c r="D13" s="23"/>
      <c r="E13" s="23"/>
      <c r="F13" s="3"/>
      <c r="G13" s="3"/>
      <c r="H13" s="3"/>
      <c r="I13" s="3"/>
      <c r="J13" s="3"/>
      <c r="K13" s="3"/>
      <c r="L13" s="3"/>
      <c r="M13" s="3"/>
      <c r="N13" s="3"/>
      <c r="O13" s="3"/>
      <c r="P13" s="3"/>
      <c r="Q13" s="3"/>
      <c r="R13" s="3"/>
      <c r="S13" s="3"/>
      <c r="T13" s="3"/>
      <c r="U13" s="3"/>
      <c r="V13" s="3"/>
      <c r="W13" s="3"/>
      <c r="X13" s="3"/>
      <c r="Y13" s="3"/>
      <c r="Z13" s="3"/>
    </row>
    <row r="14" ht="33.75" customHeight="1">
      <c r="A14" s="21"/>
      <c r="B14" s="21"/>
      <c r="C14" s="21"/>
      <c r="D14" s="21"/>
      <c r="E14" s="21"/>
      <c r="F14" s="3"/>
      <c r="G14" s="3"/>
      <c r="H14" s="3"/>
      <c r="I14" s="3"/>
      <c r="J14" s="3"/>
      <c r="K14" s="3"/>
      <c r="L14" s="3"/>
      <c r="M14" s="3"/>
      <c r="N14" s="3"/>
      <c r="O14" s="3"/>
      <c r="P14" s="3"/>
      <c r="Q14" s="3"/>
      <c r="R14" s="3"/>
      <c r="S14" s="3"/>
      <c r="T14" s="3"/>
      <c r="U14" s="3"/>
      <c r="V14" s="3"/>
      <c r="W14" s="3"/>
      <c r="X14" s="3"/>
      <c r="Y14" s="3"/>
      <c r="Z14" s="3"/>
    </row>
    <row r="15" ht="33.75" customHeight="1">
      <c r="A15" s="23"/>
      <c r="B15" s="23"/>
      <c r="C15" s="23"/>
      <c r="D15" s="23"/>
      <c r="E15" s="23"/>
      <c r="F15" s="3"/>
      <c r="G15" s="3"/>
      <c r="H15" s="3"/>
      <c r="I15" s="3"/>
      <c r="J15" s="3"/>
      <c r="K15" s="3"/>
      <c r="L15" s="3"/>
      <c r="M15" s="3"/>
      <c r="N15" s="3"/>
      <c r="O15" s="3"/>
      <c r="P15" s="3"/>
      <c r="Q15" s="3"/>
      <c r="R15" s="3"/>
      <c r="S15" s="3"/>
      <c r="T15" s="3"/>
      <c r="U15" s="3"/>
      <c r="V15" s="3"/>
      <c r="W15" s="3"/>
      <c r="X15" s="3"/>
      <c r="Y15" s="3"/>
      <c r="Z15" s="3"/>
    </row>
    <row r="16" ht="33.75" customHeight="1">
      <c r="A16" s="21"/>
      <c r="B16" s="21"/>
      <c r="C16" s="21"/>
      <c r="D16" s="21"/>
      <c r="E16" s="21"/>
      <c r="F16" s="3"/>
      <c r="G16" s="3"/>
      <c r="H16" s="3"/>
      <c r="I16" s="3"/>
      <c r="J16" s="3"/>
      <c r="K16" s="3"/>
      <c r="L16" s="3"/>
      <c r="M16" s="3"/>
      <c r="N16" s="3"/>
      <c r="O16" s="3"/>
      <c r="P16" s="3"/>
      <c r="Q16" s="3"/>
      <c r="R16" s="3"/>
      <c r="S16" s="3"/>
      <c r="T16" s="3"/>
      <c r="U16" s="3"/>
      <c r="V16" s="3"/>
      <c r="W16" s="3"/>
      <c r="X16" s="3"/>
      <c r="Y16" s="3"/>
      <c r="Z16" s="3"/>
    </row>
    <row r="17" ht="33.75" customHeight="1">
      <c r="A17" s="23"/>
      <c r="B17" s="23"/>
      <c r="C17" s="23"/>
      <c r="D17" s="23"/>
      <c r="E17" s="23"/>
      <c r="F17" s="3"/>
      <c r="G17" s="3"/>
      <c r="H17" s="3"/>
      <c r="I17" s="3"/>
      <c r="J17" s="3"/>
      <c r="K17" s="3"/>
      <c r="L17" s="3"/>
      <c r="M17" s="3"/>
      <c r="N17" s="3"/>
      <c r="O17" s="3"/>
      <c r="P17" s="3"/>
      <c r="Q17" s="3"/>
      <c r="R17" s="3"/>
      <c r="S17" s="3"/>
      <c r="T17" s="3"/>
      <c r="U17" s="3"/>
      <c r="V17" s="3"/>
      <c r="W17" s="3"/>
      <c r="X17" s="3"/>
      <c r="Y17" s="3"/>
      <c r="Z17" s="3"/>
    </row>
    <row r="18" ht="33.75" customHeight="1">
      <c r="A18" s="21"/>
      <c r="B18" s="21"/>
      <c r="C18" s="21"/>
      <c r="D18" s="21"/>
      <c r="E18" s="21"/>
      <c r="F18" s="3"/>
      <c r="G18" s="3"/>
      <c r="H18" s="3"/>
      <c r="I18" s="3"/>
      <c r="J18" s="3"/>
      <c r="K18" s="3"/>
      <c r="L18" s="3"/>
      <c r="M18" s="3"/>
      <c r="N18" s="3"/>
      <c r="O18" s="3"/>
      <c r="P18" s="3"/>
      <c r="Q18" s="3"/>
      <c r="R18" s="3"/>
      <c r="S18" s="3"/>
      <c r="T18" s="3"/>
      <c r="U18" s="3"/>
      <c r="V18" s="3"/>
      <c r="W18" s="3"/>
      <c r="X18" s="3"/>
      <c r="Y18" s="3"/>
      <c r="Z18" s="3"/>
    </row>
    <row r="19" ht="33.75" customHeight="1">
      <c r="A19" s="23"/>
      <c r="B19" s="23"/>
      <c r="C19" s="23"/>
      <c r="D19" s="23"/>
      <c r="E19" s="23"/>
      <c r="F19" s="3"/>
      <c r="G19" s="3"/>
      <c r="H19" s="3"/>
      <c r="I19" s="3"/>
      <c r="J19" s="3"/>
      <c r="K19" s="3"/>
      <c r="L19" s="3"/>
      <c r="M19" s="3"/>
      <c r="N19" s="3"/>
      <c r="O19" s="3"/>
      <c r="P19" s="3"/>
      <c r="Q19" s="3"/>
      <c r="R19" s="3"/>
      <c r="S19" s="3"/>
      <c r="T19" s="3"/>
      <c r="U19" s="3"/>
      <c r="V19" s="3"/>
      <c r="W19" s="3"/>
      <c r="X19" s="3"/>
      <c r="Y19" s="3"/>
      <c r="Z19" s="3"/>
    </row>
    <row r="20" ht="33.75" customHeight="1">
      <c r="A20" s="21"/>
      <c r="B20" s="21"/>
      <c r="C20" s="21"/>
      <c r="D20" s="21"/>
      <c r="E20" s="21"/>
      <c r="F20" s="3"/>
      <c r="G20" s="3"/>
      <c r="H20" s="3"/>
      <c r="I20" s="3"/>
      <c r="J20" s="3"/>
      <c r="K20" s="3"/>
      <c r="L20" s="3"/>
      <c r="M20" s="3"/>
      <c r="N20" s="3"/>
      <c r="O20" s="3"/>
      <c r="P20" s="3"/>
      <c r="Q20" s="3"/>
      <c r="R20" s="3"/>
      <c r="S20" s="3"/>
      <c r="T20" s="3"/>
      <c r="U20" s="3"/>
      <c r="V20" s="3"/>
      <c r="W20" s="3"/>
      <c r="X20" s="3"/>
      <c r="Y20" s="3"/>
      <c r="Z20" s="3"/>
    </row>
    <row r="21" ht="33.75" customHeight="1">
      <c r="A21" s="23"/>
      <c r="B21" s="23"/>
      <c r="C21" s="23"/>
      <c r="D21" s="23"/>
      <c r="E21" s="23"/>
      <c r="F21" s="3"/>
      <c r="G21" s="3"/>
      <c r="H21" s="3"/>
      <c r="I21" s="3"/>
      <c r="J21" s="3"/>
      <c r="K21" s="3"/>
      <c r="L21" s="3"/>
      <c r="M21" s="3"/>
      <c r="N21" s="3"/>
      <c r="O21" s="3"/>
      <c r="P21" s="3"/>
      <c r="Q21" s="3"/>
      <c r="R21" s="3"/>
      <c r="S21" s="3"/>
      <c r="T21" s="3"/>
      <c r="U21" s="3"/>
      <c r="V21" s="3"/>
      <c r="W21" s="3"/>
      <c r="X21" s="3"/>
      <c r="Y21" s="3"/>
      <c r="Z21" s="3"/>
    </row>
    <row r="22" ht="33.75" customHeight="1">
      <c r="A22" s="21"/>
      <c r="B22" s="21"/>
      <c r="C22" s="21"/>
      <c r="D22" s="21"/>
      <c r="E22" s="21"/>
      <c r="F22" s="3"/>
      <c r="G22" s="3"/>
      <c r="H22" s="3"/>
      <c r="I22" s="3"/>
      <c r="J22" s="3"/>
      <c r="K22" s="3"/>
      <c r="L22" s="3"/>
      <c r="M22" s="3"/>
      <c r="N22" s="3"/>
      <c r="O22" s="3"/>
      <c r="P22" s="3"/>
      <c r="Q22" s="3"/>
      <c r="R22" s="3"/>
      <c r="S22" s="3"/>
      <c r="T22" s="3"/>
      <c r="U22" s="3"/>
      <c r="V22" s="3"/>
      <c r="W22" s="3"/>
      <c r="X22" s="3"/>
      <c r="Y22" s="3"/>
      <c r="Z22" s="3"/>
    </row>
    <row r="23" ht="33.75" customHeight="1">
      <c r="A23" s="23"/>
      <c r="B23" s="23"/>
      <c r="C23" s="23"/>
      <c r="D23" s="23"/>
      <c r="E23" s="23"/>
      <c r="F23" s="3"/>
      <c r="G23" s="3"/>
      <c r="H23" s="3"/>
      <c r="I23" s="3"/>
      <c r="J23" s="3"/>
      <c r="K23" s="3"/>
      <c r="L23" s="3"/>
      <c r="M23" s="3"/>
      <c r="N23" s="3"/>
      <c r="O23" s="3"/>
      <c r="P23" s="3"/>
      <c r="Q23" s="3"/>
      <c r="R23" s="3"/>
      <c r="S23" s="3"/>
      <c r="T23" s="3"/>
      <c r="U23" s="3"/>
      <c r="V23" s="3"/>
      <c r="W23" s="3"/>
      <c r="X23" s="3"/>
      <c r="Y23" s="3"/>
      <c r="Z23" s="3"/>
    </row>
    <row r="24" ht="33.75" customHeight="1">
      <c r="A24" s="21"/>
      <c r="B24" s="21"/>
      <c r="C24" s="21"/>
      <c r="D24" s="21"/>
      <c r="E24" s="21"/>
      <c r="F24" s="3"/>
      <c r="G24" s="3"/>
      <c r="H24" s="3"/>
      <c r="I24" s="3"/>
      <c r="J24" s="3"/>
      <c r="K24" s="3"/>
      <c r="L24" s="3"/>
      <c r="M24" s="3"/>
      <c r="N24" s="3"/>
      <c r="O24" s="3"/>
      <c r="P24" s="3"/>
      <c r="Q24" s="3"/>
      <c r="R24" s="3"/>
      <c r="S24" s="3"/>
      <c r="T24" s="3"/>
      <c r="U24" s="3"/>
      <c r="V24" s="3"/>
      <c r="W24" s="3"/>
      <c r="X24" s="3"/>
      <c r="Y24" s="3"/>
      <c r="Z24" s="3"/>
    </row>
    <row r="25" ht="33.75" customHeight="1">
      <c r="A25" s="23"/>
      <c r="B25" s="23"/>
      <c r="C25" s="23"/>
      <c r="D25" s="23"/>
      <c r="E25" s="23"/>
      <c r="F25" s="3"/>
      <c r="G25" s="3"/>
      <c r="H25" s="3"/>
      <c r="I25" s="3"/>
      <c r="J25" s="3"/>
      <c r="K25" s="3"/>
      <c r="L25" s="3"/>
      <c r="M25" s="3"/>
      <c r="N25" s="3"/>
      <c r="O25" s="3"/>
      <c r="P25" s="3"/>
      <c r="Q25" s="3"/>
      <c r="R25" s="3"/>
      <c r="S25" s="3"/>
      <c r="T25" s="3"/>
      <c r="U25" s="3"/>
      <c r="V25" s="3"/>
      <c r="W25" s="3"/>
      <c r="X25" s="3"/>
      <c r="Y25" s="3"/>
      <c r="Z25" s="3"/>
    </row>
    <row r="26" ht="33.75" customHeight="1">
      <c r="A26" s="21"/>
      <c r="B26" s="21"/>
      <c r="C26" s="21"/>
      <c r="D26" s="21"/>
      <c r="E26" s="21"/>
      <c r="F26" s="3"/>
      <c r="G26" s="3"/>
      <c r="H26" s="3"/>
      <c r="I26" s="3"/>
      <c r="J26" s="3"/>
      <c r="K26" s="3"/>
      <c r="L26" s="3"/>
      <c r="M26" s="3"/>
      <c r="N26" s="3"/>
      <c r="O26" s="3"/>
      <c r="P26" s="3"/>
      <c r="Q26" s="3"/>
      <c r="R26" s="3"/>
      <c r="S26" s="3"/>
      <c r="T26" s="3"/>
      <c r="U26" s="3"/>
      <c r="V26" s="3"/>
      <c r="W26" s="3"/>
      <c r="X26" s="3"/>
      <c r="Y26" s="3"/>
      <c r="Z26" s="3"/>
    </row>
    <row r="27" ht="33.75" customHeight="1">
      <c r="A27" s="23"/>
      <c r="B27" s="23"/>
      <c r="C27" s="23"/>
      <c r="D27" s="23"/>
      <c r="E27" s="23"/>
      <c r="F27" s="3"/>
      <c r="G27" s="3"/>
      <c r="H27" s="3"/>
      <c r="I27" s="3"/>
      <c r="J27" s="3"/>
      <c r="K27" s="3"/>
      <c r="L27" s="3"/>
      <c r="M27" s="3"/>
      <c r="N27" s="3"/>
      <c r="O27" s="3"/>
      <c r="P27" s="3"/>
      <c r="Q27" s="3"/>
      <c r="R27" s="3"/>
      <c r="S27" s="3"/>
      <c r="T27" s="3"/>
      <c r="U27" s="3"/>
      <c r="V27" s="3"/>
      <c r="W27" s="3"/>
      <c r="X27" s="3"/>
      <c r="Y27" s="3"/>
      <c r="Z27" s="3"/>
    </row>
    <row r="28" ht="33.75" customHeight="1">
      <c r="A28" s="21"/>
      <c r="B28" s="21"/>
      <c r="C28" s="21"/>
      <c r="D28" s="21"/>
      <c r="E28" s="21"/>
      <c r="F28" s="3"/>
      <c r="G28" s="3"/>
      <c r="H28" s="3"/>
      <c r="I28" s="3"/>
      <c r="J28" s="3"/>
      <c r="K28" s="3"/>
      <c r="L28" s="3"/>
      <c r="M28" s="3"/>
      <c r="N28" s="3"/>
      <c r="O28" s="3"/>
      <c r="P28" s="3"/>
      <c r="Q28" s="3"/>
      <c r="R28" s="3"/>
      <c r="S28" s="3"/>
      <c r="T28" s="3"/>
      <c r="U28" s="3"/>
      <c r="V28" s="3"/>
      <c r="W28" s="3"/>
      <c r="X28" s="3"/>
      <c r="Y28" s="3"/>
      <c r="Z28" s="3"/>
    </row>
    <row r="29" ht="33.75" customHeight="1">
      <c r="A29" s="23"/>
      <c r="B29" s="23"/>
      <c r="C29" s="23"/>
      <c r="D29" s="23"/>
      <c r="E29" s="23"/>
      <c r="F29" s="3"/>
      <c r="G29" s="3"/>
      <c r="H29" s="3"/>
      <c r="I29" s="3"/>
      <c r="J29" s="3"/>
      <c r="K29" s="3"/>
      <c r="L29" s="3"/>
      <c r="M29" s="3"/>
      <c r="N29" s="3"/>
      <c r="O29" s="3"/>
      <c r="P29" s="3"/>
      <c r="Q29" s="3"/>
      <c r="R29" s="3"/>
      <c r="S29" s="3"/>
      <c r="T29" s="3"/>
      <c r="U29" s="3"/>
      <c r="V29" s="3"/>
      <c r="W29" s="3"/>
      <c r="X29" s="3"/>
      <c r="Y29" s="3"/>
      <c r="Z29" s="3"/>
    </row>
    <row r="30" ht="33.75" customHeight="1">
      <c r="A30" s="21"/>
      <c r="B30" s="21"/>
      <c r="C30" s="21"/>
      <c r="D30" s="21"/>
      <c r="E30" s="21"/>
      <c r="F30" s="3"/>
      <c r="G30" s="3"/>
      <c r="H30" s="3"/>
      <c r="I30" s="3"/>
      <c r="J30" s="3"/>
      <c r="K30" s="3"/>
      <c r="L30" s="3"/>
      <c r="M30" s="3"/>
      <c r="N30" s="3"/>
      <c r="O30" s="3"/>
      <c r="P30" s="3"/>
      <c r="Q30" s="3"/>
      <c r="R30" s="3"/>
      <c r="S30" s="3"/>
      <c r="T30" s="3"/>
      <c r="U30" s="3"/>
      <c r="V30" s="3"/>
      <c r="W30" s="3"/>
      <c r="X30" s="3"/>
      <c r="Y30" s="3"/>
      <c r="Z30" s="3"/>
    </row>
    <row r="31" ht="33.75" customHeight="1">
      <c r="A31" s="23"/>
      <c r="B31" s="23"/>
      <c r="C31" s="23"/>
      <c r="D31" s="23"/>
      <c r="E31" s="23"/>
      <c r="F31" s="3"/>
      <c r="G31" s="3"/>
      <c r="H31" s="3"/>
      <c r="I31" s="3"/>
      <c r="J31" s="3"/>
      <c r="K31" s="3"/>
      <c r="L31" s="3"/>
      <c r="M31" s="3"/>
      <c r="N31" s="3"/>
      <c r="O31" s="3"/>
      <c r="P31" s="3"/>
      <c r="Q31" s="3"/>
      <c r="R31" s="3"/>
      <c r="S31" s="3"/>
      <c r="T31" s="3"/>
      <c r="U31" s="3"/>
      <c r="V31" s="3"/>
      <c r="W31" s="3"/>
      <c r="X31" s="3"/>
      <c r="Y31" s="3"/>
      <c r="Z31" s="3"/>
    </row>
    <row r="32" ht="33.75" customHeight="1">
      <c r="A32" s="21"/>
      <c r="B32" s="21"/>
      <c r="C32" s="21"/>
      <c r="D32" s="21"/>
      <c r="E32" s="21"/>
      <c r="F32" s="3"/>
      <c r="G32" s="3"/>
      <c r="H32" s="3"/>
      <c r="I32" s="3"/>
      <c r="J32" s="3"/>
      <c r="K32" s="3"/>
      <c r="L32" s="3"/>
      <c r="M32" s="3"/>
      <c r="N32" s="3"/>
      <c r="O32" s="3"/>
      <c r="P32" s="3"/>
      <c r="Q32" s="3"/>
      <c r="R32" s="3"/>
      <c r="S32" s="3"/>
      <c r="T32" s="3"/>
      <c r="U32" s="3"/>
      <c r="V32" s="3"/>
      <c r="W32" s="3"/>
      <c r="X32" s="3"/>
      <c r="Y32" s="3"/>
      <c r="Z32" s="3"/>
    </row>
    <row r="33" ht="33.75" customHeight="1">
      <c r="A33" s="23"/>
      <c r="B33" s="23"/>
      <c r="C33" s="23"/>
      <c r="D33" s="23"/>
      <c r="E33" s="23"/>
      <c r="F33" s="3"/>
      <c r="G33" s="3"/>
      <c r="H33" s="3"/>
      <c r="I33" s="3"/>
      <c r="J33" s="3"/>
      <c r="K33" s="3"/>
      <c r="L33" s="3"/>
      <c r="M33" s="3"/>
      <c r="N33" s="3"/>
      <c r="O33" s="3"/>
      <c r="P33" s="3"/>
      <c r="Q33" s="3"/>
      <c r="R33" s="3"/>
      <c r="S33" s="3"/>
      <c r="T33" s="3"/>
      <c r="U33" s="3"/>
      <c r="V33" s="3"/>
      <c r="W33" s="3"/>
      <c r="X33" s="3"/>
      <c r="Y33" s="3"/>
      <c r="Z33" s="3"/>
    </row>
    <row r="34" ht="33.75" customHeight="1">
      <c r="A34" s="21"/>
      <c r="B34" s="21"/>
      <c r="C34" s="21"/>
      <c r="D34" s="21"/>
      <c r="E34" s="21"/>
      <c r="F34" s="3"/>
      <c r="G34" s="3"/>
      <c r="H34" s="3"/>
      <c r="I34" s="3"/>
      <c r="J34" s="3"/>
      <c r="K34" s="3"/>
      <c r="L34" s="3"/>
      <c r="M34" s="3"/>
      <c r="N34" s="3"/>
      <c r="O34" s="3"/>
      <c r="P34" s="3"/>
      <c r="Q34" s="3"/>
      <c r="R34" s="3"/>
      <c r="S34" s="3"/>
      <c r="T34" s="3"/>
      <c r="U34" s="3"/>
      <c r="V34" s="3"/>
      <c r="W34" s="3"/>
      <c r="X34" s="3"/>
      <c r="Y34" s="3"/>
      <c r="Z34" s="3"/>
    </row>
    <row r="35" ht="33.75" customHeight="1">
      <c r="A35" s="23"/>
      <c r="B35" s="23"/>
      <c r="C35" s="23"/>
      <c r="D35" s="23"/>
      <c r="E35" s="23"/>
      <c r="F35" s="3"/>
      <c r="G35" s="3"/>
      <c r="H35" s="3"/>
      <c r="I35" s="3"/>
      <c r="J35" s="3"/>
      <c r="K35" s="3"/>
      <c r="L35" s="3"/>
      <c r="M35" s="3"/>
      <c r="N35" s="3"/>
      <c r="O35" s="3"/>
      <c r="P35" s="3"/>
      <c r="Q35" s="3"/>
      <c r="R35" s="3"/>
      <c r="S35" s="3"/>
      <c r="T35" s="3"/>
      <c r="U35" s="3"/>
      <c r="V35" s="3"/>
      <c r="W35" s="3"/>
      <c r="X35" s="3"/>
      <c r="Y35" s="3"/>
      <c r="Z35" s="3"/>
    </row>
    <row r="36" ht="33.75" customHeight="1">
      <c r="A36" s="21"/>
      <c r="B36" s="21"/>
      <c r="C36" s="21"/>
      <c r="D36" s="21"/>
      <c r="E36" s="21"/>
      <c r="F36" s="3"/>
      <c r="G36" s="3"/>
      <c r="H36" s="3"/>
      <c r="I36" s="3"/>
      <c r="J36" s="3"/>
      <c r="K36" s="3"/>
      <c r="L36" s="3"/>
      <c r="M36" s="3"/>
      <c r="N36" s="3"/>
      <c r="O36" s="3"/>
      <c r="P36" s="3"/>
      <c r="Q36" s="3"/>
      <c r="R36" s="3"/>
      <c r="S36" s="3"/>
      <c r="T36" s="3"/>
      <c r="U36" s="3"/>
      <c r="V36" s="3"/>
      <c r="W36" s="3"/>
      <c r="X36" s="3"/>
      <c r="Y36" s="3"/>
      <c r="Z36" s="3"/>
    </row>
    <row r="37" ht="33.75" customHeight="1">
      <c r="A37" s="23"/>
      <c r="B37" s="23"/>
      <c r="C37" s="23"/>
      <c r="D37" s="23"/>
      <c r="E37" s="23"/>
      <c r="F37" s="3"/>
      <c r="G37" s="3"/>
      <c r="H37" s="3"/>
      <c r="I37" s="3"/>
      <c r="J37" s="3"/>
      <c r="K37" s="3"/>
      <c r="L37" s="3"/>
      <c r="M37" s="3"/>
      <c r="N37" s="3"/>
      <c r="O37" s="3"/>
      <c r="P37" s="3"/>
      <c r="Q37" s="3"/>
      <c r="R37" s="3"/>
      <c r="S37" s="3"/>
      <c r="T37" s="3"/>
      <c r="U37" s="3"/>
      <c r="V37" s="3"/>
      <c r="W37" s="3"/>
      <c r="X37" s="3"/>
      <c r="Y37" s="3"/>
      <c r="Z37" s="3"/>
    </row>
    <row r="38" ht="33.75" customHeight="1">
      <c r="A38" s="21"/>
      <c r="B38" s="21"/>
      <c r="C38" s="21"/>
      <c r="D38" s="21"/>
      <c r="E38" s="21"/>
      <c r="F38" s="3"/>
      <c r="G38" s="3"/>
      <c r="H38" s="3"/>
      <c r="I38" s="3"/>
      <c r="J38" s="3"/>
      <c r="K38" s="3"/>
      <c r="L38" s="3"/>
      <c r="M38" s="3"/>
      <c r="N38" s="3"/>
      <c r="O38" s="3"/>
      <c r="P38" s="3"/>
      <c r="Q38" s="3"/>
      <c r="R38" s="3"/>
      <c r="S38" s="3"/>
      <c r="T38" s="3"/>
      <c r="U38" s="3"/>
      <c r="V38" s="3"/>
      <c r="W38" s="3"/>
      <c r="X38" s="3"/>
      <c r="Y38" s="3"/>
      <c r="Z38" s="3"/>
    </row>
    <row r="39" ht="33.75" customHeight="1">
      <c r="A39" s="23"/>
      <c r="B39" s="23"/>
      <c r="C39" s="23"/>
      <c r="D39" s="23"/>
      <c r="E39" s="23"/>
      <c r="F39" s="3"/>
      <c r="G39" s="3"/>
      <c r="H39" s="3"/>
      <c r="I39" s="3"/>
      <c r="J39" s="3"/>
      <c r="K39" s="3"/>
      <c r="L39" s="3"/>
      <c r="M39" s="3"/>
      <c r="N39" s="3"/>
      <c r="O39" s="3"/>
      <c r="P39" s="3"/>
      <c r="Q39" s="3"/>
      <c r="R39" s="3"/>
      <c r="S39" s="3"/>
      <c r="T39" s="3"/>
      <c r="U39" s="3"/>
      <c r="V39" s="3"/>
      <c r="W39" s="3"/>
      <c r="X39" s="3"/>
      <c r="Y39" s="3"/>
      <c r="Z39" s="3"/>
    </row>
    <row r="40" ht="33.75" customHeight="1">
      <c r="A40" s="21"/>
      <c r="B40" s="21"/>
      <c r="C40" s="21"/>
      <c r="D40" s="21"/>
      <c r="E40" s="21"/>
      <c r="F40" s="3"/>
      <c r="G40" s="3"/>
      <c r="H40" s="3"/>
      <c r="I40" s="3"/>
      <c r="J40" s="3"/>
      <c r="K40" s="3"/>
      <c r="L40" s="3"/>
      <c r="M40" s="3"/>
      <c r="N40" s="3"/>
      <c r="O40" s="3"/>
      <c r="P40" s="3"/>
      <c r="Q40" s="3"/>
      <c r="R40" s="3"/>
      <c r="S40" s="3"/>
      <c r="T40" s="3"/>
      <c r="U40" s="3"/>
      <c r="V40" s="3"/>
      <c r="W40" s="3"/>
      <c r="X40" s="3"/>
      <c r="Y40" s="3"/>
      <c r="Z40" s="3"/>
    </row>
    <row r="41" ht="33.75" customHeight="1">
      <c r="A41" s="23"/>
      <c r="B41" s="23"/>
      <c r="C41" s="23"/>
      <c r="D41" s="23"/>
      <c r="E41" s="23"/>
      <c r="F41" s="3"/>
      <c r="G41" s="3"/>
      <c r="H41" s="3"/>
      <c r="I41" s="3"/>
      <c r="J41" s="3"/>
      <c r="K41" s="3"/>
      <c r="L41" s="3"/>
      <c r="M41" s="3"/>
      <c r="N41" s="3"/>
      <c r="O41" s="3"/>
      <c r="P41" s="3"/>
      <c r="Q41" s="3"/>
      <c r="R41" s="3"/>
      <c r="S41" s="3"/>
      <c r="T41" s="3"/>
      <c r="U41" s="3"/>
      <c r="V41" s="3"/>
      <c r="W41" s="3"/>
      <c r="X41" s="3"/>
      <c r="Y41" s="3"/>
      <c r="Z41" s="3"/>
    </row>
    <row r="42" ht="33.75" customHeight="1">
      <c r="A42" s="21"/>
      <c r="B42" s="21"/>
      <c r="C42" s="21"/>
      <c r="D42" s="21"/>
      <c r="E42" s="21"/>
      <c r="F42" s="3"/>
      <c r="G42" s="3"/>
      <c r="H42" s="3"/>
      <c r="I42" s="3"/>
      <c r="J42" s="3"/>
      <c r="K42" s="3"/>
      <c r="L42" s="3"/>
      <c r="M42" s="3"/>
      <c r="N42" s="3"/>
      <c r="O42" s="3"/>
      <c r="P42" s="3"/>
      <c r="Q42" s="3"/>
      <c r="R42" s="3"/>
      <c r="S42" s="3"/>
      <c r="T42" s="3"/>
      <c r="U42" s="3"/>
      <c r="V42" s="3"/>
      <c r="W42" s="3"/>
      <c r="X42" s="3"/>
      <c r="Y42" s="3"/>
      <c r="Z42" s="3"/>
    </row>
    <row r="43" ht="33.75" customHeight="1">
      <c r="A43" s="23"/>
      <c r="B43" s="23"/>
      <c r="C43" s="23"/>
      <c r="D43" s="23"/>
      <c r="E43" s="23"/>
      <c r="F43" s="3"/>
      <c r="G43" s="3"/>
      <c r="H43" s="3"/>
      <c r="I43" s="3"/>
      <c r="J43" s="3"/>
      <c r="K43" s="3"/>
      <c r="L43" s="3"/>
      <c r="M43" s="3"/>
      <c r="N43" s="3"/>
      <c r="O43" s="3"/>
      <c r="P43" s="3"/>
      <c r="Q43" s="3"/>
      <c r="R43" s="3"/>
      <c r="S43" s="3"/>
      <c r="T43" s="3"/>
      <c r="U43" s="3"/>
      <c r="V43" s="3"/>
      <c r="W43" s="3"/>
      <c r="X43" s="3"/>
      <c r="Y43" s="3"/>
      <c r="Z43" s="3"/>
    </row>
    <row r="44" ht="33.75" customHeight="1">
      <c r="A44" s="21"/>
      <c r="B44" s="21"/>
      <c r="C44" s="21"/>
      <c r="D44" s="21"/>
      <c r="E44" s="21"/>
      <c r="F44" s="3"/>
      <c r="G44" s="3"/>
      <c r="H44" s="3"/>
      <c r="I44" s="3"/>
      <c r="J44" s="3"/>
      <c r="K44" s="3"/>
      <c r="L44" s="3"/>
      <c r="M44" s="3"/>
      <c r="N44" s="3"/>
      <c r="O44" s="3"/>
      <c r="P44" s="3"/>
      <c r="Q44" s="3"/>
      <c r="R44" s="3"/>
      <c r="S44" s="3"/>
      <c r="T44" s="3"/>
      <c r="U44" s="3"/>
      <c r="V44" s="3"/>
      <c r="W44" s="3"/>
      <c r="X44" s="3"/>
      <c r="Y44" s="3"/>
      <c r="Z44" s="3"/>
    </row>
    <row r="45" ht="33.75" customHeight="1">
      <c r="A45" s="23"/>
      <c r="B45" s="23"/>
      <c r="C45" s="23"/>
      <c r="D45" s="23"/>
      <c r="E45" s="2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2">
    <mergeCell ref="A1:G1"/>
    <mergeCell ref="A2:G2"/>
  </mergeCells>
  <dataValidations>
    <dataValidation type="list" allowBlank="1" showInputMessage="1" showErrorMessage="1" prompt="Valor no admitido - Responda Sí o No." sqref="E5:E45">
      <formula1>"Sí,No"</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3.0"/>
    <col customWidth="1" min="2" max="2" width="37.0"/>
    <col customWidth="1" min="3" max="3" width="102.57"/>
    <col customWidth="1" min="4" max="4" width="54.86"/>
    <col customWidth="1" min="5" max="6" width="8.71"/>
  </cols>
  <sheetData>
    <row r="1" ht="19.5" customHeight="1">
      <c r="A1" s="2" t="s">
        <v>673</v>
      </c>
      <c r="E1" s="3"/>
      <c r="F1" s="3"/>
      <c r="G1" s="3"/>
      <c r="H1" s="3"/>
      <c r="I1" s="3"/>
      <c r="J1" s="3"/>
      <c r="K1" s="3"/>
      <c r="L1" s="3"/>
      <c r="M1" s="3"/>
      <c r="N1" s="3"/>
      <c r="O1" s="3"/>
      <c r="P1" s="3"/>
      <c r="Q1" s="3"/>
      <c r="R1" s="3"/>
      <c r="S1" s="3"/>
      <c r="T1" s="3"/>
      <c r="U1" s="3"/>
      <c r="V1" s="3"/>
      <c r="W1" s="3"/>
      <c r="X1" s="3"/>
      <c r="Y1" s="3"/>
      <c r="Z1" s="3"/>
    </row>
    <row r="2" ht="39.75" customHeight="1">
      <c r="A2" s="5" t="s">
        <v>674</v>
      </c>
      <c r="E2" s="3"/>
      <c r="F2" s="3"/>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30.0" customHeight="1">
      <c r="A4" s="7" t="s">
        <v>675</v>
      </c>
      <c r="B4" s="7" t="s">
        <v>676</v>
      </c>
      <c r="C4" s="7" t="s">
        <v>677</v>
      </c>
      <c r="D4" s="7" t="s">
        <v>503</v>
      </c>
      <c r="E4" s="3"/>
      <c r="F4" s="3"/>
      <c r="G4" s="3"/>
      <c r="H4" s="3"/>
      <c r="I4" s="3"/>
      <c r="J4" s="3"/>
      <c r="K4" s="3"/>
      <c r="L4" s="3"/>
      <c r="M4" s="3"/>
      <c r="N4" s="3"/>
      <c r="O4" s="3"/>
      <c r="P4" s="3"/>
      <c r="Q4" s="3"/>
      <c r="R4" s="3"/>
      <c r="S4" s="3"/>
      <c r="T4" s="3"/>
      <c r="U4" s="3"/>
      <c r="V4" s="3"/>
      <c r="W4" s="3"/>
      <c r="X4" s="3"/>
      <c r="Y4" s="3"/>
      <c r="Z4" s="3"/>
    </row>
    <row r="5" ht="30.0" customHeight="1">
      <c r="A5" s="24" t="s">
        <v>678</v>
      </c>
      <c r="B5" s="12" t="s">
        <v>679</v>
      </c>
      <c r="C5" s="12" t="s">
        <v>680</v>
      </c>
      <c r="D5" s="12" t="s">
        <v>681</v>
      </c>
      <c r="E5" s="3"/>
      <c r="F5" s="3"/>
      <c r="G5" s="3"/>
      <c r="H5" s="3"/>
      <c r="I5" s="3"/>
      <c r="J5" s="3"/>
      <c r="K5" s="3"/>
      <c r="L5" s="3"/>
      <c r="M5" s="3"/>
      <c r="N5" s="3"/>
      <c r="O5" s="3"/>
      <c r="P5" s="3"/>
      <c r="Q5" s="3"/>
      <c r="R5" s="3"/>
      <c r="S5" s="3"/>
      <c r="T5" s="3"/>
      <c r="U5" s="3"/>
      <c r="V5" s="3"/>
      <c r="W5" s="3"/>
      <c r="X5" s="3"/>
      <c r="Y5" s="3"/>
      <c r="Z5" s="3"/>
    </row>
    <row r="6" ht="30.0" customHeight="1">
      <c r="A6" s="15" t="s">
        <v>682</v>
      </c>
      <c r="B6" s="15" t="s">
        <v>683</v>
      </c>
      <c r="C6" s="15" t="s">
        <v>684</v>
      </c>
      <c r="D6" s="15" t="s">
        <v>685</v>
      </c>
      <c r="E6" s="3"/>
      <c r="F6" s="3"/>
      <c r="G6" s="3"/>
      <c r="H6" s="3"/>
      <c r="I6" s="3"/>
      <c r="J6" s="3"/>
      <c r="K6" s="3"/>
      <c r="L6" s="3"/>
      <c r="M6" s="3"/>
      <c r="N6" s="3"/>
      <c r="O6" s="3"/>
      <c r="P6" s="3"/>
      <c r="Q6" s="3"/>
      <c r="R6" s="3"/>
      <c r="S6" s="3"/>
      <c r="T6" s="3"/>
      <c r="U6" s="3"/>
      <c r="V6" s="3"/>
      <c r="W6" s="3"/>
      <c r="X6" s="3"/>
      <c r="Y6" s="3"/>
      <c r="Z6" s="3"/>
    </row>
    <row r="7" ht="30.0" customHeight="1">
      <c r="A7" s="24" t="s">
        <v>686</v>
      </c>
      <c r="B7" s="12" t="s">
        <v>687</v>
      </c>
      <c r="C7" s="12" t="s">
        <v>688</v>
      </c>
      <c r="D7" s="12" t="s">
        <v>169</v>
      </c>
      <c r="E7" s="3"/>
      <c r="F7" s="3"/>
      <c r="G7" s="3"/>
      <c r="H7" s="3"/>
      <c r="I7" s="3"/>
      <c r="J7" s="3"/>
      <c r="K7" s="3"/>
      <c r="L7" s="3"/>
      <c r="M7" s="3"/>
      <c r="N7" s="3"/>
      <c r="O7" s="3"/>
      <c r="P7" s="3"/>
      <c r="Q7" s="3"/>
      <c r="R7" s="3"/>
      <c r="S7" s="3"/>
      <c r="T7" s="3"/>
      <c r="U7" s="3"/>
      <c r="V7" s="3"/>
      <c r="W7" s="3"/>
      <c r="X7" s="3"/>
      <c r="Y7" s="3"/>
      <c r="Z7" s="3"/>
    </row>
    <row r="8" ht="40.5" customHeight="1">
      <c r="A8" s="15" t="s">
        <v>689</v>
      </c>
      <c r="B8" s="15" t="s">
        <v>690</v>
      </c>
      <c r="C8" s="15" t="s">
        <v>691</v>
      </c>
      <c r="D8" s="15" t="s">
        <v>692</v>
      </c>
      <c r="E8" s="3"/>
      <c r="F8" s="3"/>
      <c r="G8" s="3"/>
      <c r="H8" s="3"/>
      <c r="I8" s="3"/>
      <c r="J8" s="3"/>
      <c r="K8" s="3"/>
      <c r="L8" s="3"/>
      <c r="M8" s="3"/>
      <c r="N8" s="3"/>
      <c r="O8" s="3"/>
      <c r="P8" s="3"/>
      <c r="Q8" s="3"/>
      <c r="R8" s="3"/>
      <c r="S8" s="3"/>
      <c r="T8" s="3"/>
      <c r="U8" s="3"/>
      <c r="V8" s="3"/>
      <c r="W8" s="3"/>
      <c r="X8" s="3"/>
      <c r="Y8" s="3"/>
      <c r="Z8" s="3"/>
    </row>
    <row r="9" ht="30.0" customHeight="1">
      <c r="A9" s="24" t="s">
        <v>693</v>
      </c>
      <c r="B9" s="12" t="s">
        <v>694</v>
      </c>
      <c r="C9" s="12" t="s">
        <v>695</v>
      </c>
      <c r="D9" s="12" t="s">
        <v>66</v>
      </c>
      <c r="E9" s="3"/>
      <c r="F9" s="3"/>
      <c r="G9" s="3"/>
      <c r="H9" s="3"/>
      <c r="I9" s="3"/>
      <c r="J9" s="3"/>
      <c r="K9" s="3"/>
      <c r="L9" s="3"/>
      <c r="M9" s="3"/>
      <c r="N9" s="3"/>
      <c r="O9" s="3"/>
      <c r="P9" s="3"/>
      <c r="Q9" s="3"/>
      <c r="R9" s="3"/>
      <c r="S9" s="3"/>
      <c r="T9" s="3"/>
      <c r="U9" s="3"/>
      <c r="V9" s="3"/>
      <c r="W9" s="3"/>
      <c r="X9" s="3"/>
      <c r="Y9" s="3"/>
      <c r="Z9" s="3"/>
    </row>
    <row r="10" ht="30.0" customHeight="1">
      <c r="A10" s="15" t="s">
        <v>696</v>
      </c>
      <c r="B10" s="15" t="s">
        <v>697</v>
      </c>
      <c r="C10" s="15" t="s">
        <v>698</v>
      </c>
      <c r="D10" s="15" t="s">
        <v>35</v>
      </c>
      <c r="E10" s="3"/>
      <c r="F10" s="3"/>
      <c r="G10" s="3"/>
      <c r="H10" s="3"/>
      <c r="I10" s="3"/>
      <c r="J10" s="3"/>
      <c r="K10" s="3"/>
      <c r="L10" s="3"/>
      <c r="M10" s="3"/>
      <c r="N10" s="3"/>
      <c r="O10" s="3"/>
      <c r="P10" s="3"/>
      <c r="Q10" s="3"/>
      <c r="R10" s="3"/>
      <c r="S10" s="3"/>
      <c r="T10" s="3"/>
      <c r="U10" s="3"/>
      <c r="V10" s="3"/>
      <c r="W10" s="3"/>
      <c r="X10" s="3"/>
      <c r="Y10" s="3"/>
      <c r="Z10" s="3"/>
    </row>
    <row r="11" ht="30.0" customHeight="1">
      <c r="A11" s="24" t="s">
        <v>699</v>
      </c>
      <c r="B11" s="12" t="s">
        <v>700</v>
      </c>
      <c r="C11" s="12" t="s">
        <v>701</v>
      </c>
      <c r="D11" s="12" t="s">
        <v>702</v>
      </c>
      <c r="E11" s="3"/>
      <c r="F11" s="3"/>
      <c r="G11" s="3"/>
      <c r="H11" s="3"/>
      <c r="I11" s="3"/>
      <c r="J11" s="3"/>
      <c r="K11" s="3"/>
      <c r="L11" s="3"/>
      <c r="M11" s="3"/>
      <c r="N11" s="3"/>
      <c r="O11" s="3"/>
      <c r="P11" s="3"/>
      <c r="Q11" s="3"/>
      <c r="R11" s="3"/>
      <c r="S11" s="3"/>
      <c r="T11" s="3"/>
      <c r="U11" s="3"/>
      <c r="V11" s="3"/>
      <c r="W11" s="3"/>
      <c r="X11" s="3"/>
      <c r="Y11" s="3"/>
      <c r="Z11" s="3"/>
    </row>
    <row r="12" ht="30.0" customHeight="1">
      <c r="A12" s="15" t="s">
        <v>703</v>
      </c>
      <c r="B12" s="15" t="s">
        <v>704</v>
      </c>
      <c r="C12" s="15" t="s">
        <v>705</v>
      </c>
      <c r="D12" s="15" t="s">
        <v>115</v>
      </c>
      <c r="E12" s="3"/>
      <c r="F12" s="3"/>
      <c r="G12" s="3"/>
      <c r="H12" s="3"/>
      <c r="I12" s="3"/>
      <c r="J12" s="3"/>
      <c r="K12" s="3"/>
      <c r="L12" s="3"/>
      <c r="M12" s="3"/>
      <c r="N12" s="3"/>
      <c r="O12" s="3"/>
      <c r="P12" s="3"/>
      <c r="Q12" s="3"/>
      <c r="R12" s="3"/>
      <c r="S12" s="3"/>
      <c r="T12" s="3"/>
      <c r="U12" s="3"/>
      <c r="V12" s="3"/>
      <c r="W12" s="3"/>
      <c r="X12" s="3"/>
      <c r="Y12" s="3"/>
      <c r="Z12" s="3"/>
    </row>
    <row r="13" ht="30.0" customHeight="1">
      <c r="A13" s="24" t="s">
        <v>706</v>
      </c>
      <c r="B13" s="12" t="s">
        <v>707</v>
      </c>
      <c r="C13" s="12" t="s">
        <v>708</v>
      </c>
      <c r="D13" s="12" t="s">
        <v>709</v>
      </c>
      <c r="E13" s="3"/>
      <c r="F13" s="3"/>
      <c r="G13" s="3"/>
      <c r="H13" s="3"/>
      <c r="I13" s="3"/>
      <c r="J13" s="3"/>
      <c r="K13" s="3"/>
      <c r="L13" s="3"/>
      <c r="M13" s="3"/>
      <c r="N13" s="3"/>
      <c r="O13" s="3"/>
      <c r="P13" s="3"/>
      <c r="Q13" s="3"/>
      <c r="R13" s="3"/>
      <c r="S13" s="3"/>
      <c r="T13" s="3"/>
      <c r="U13" s="3"/>
      <c r="V13" s="3"/>
      <c r="W13" s="3"/>
      <c r="X13" s="3"/>
      <c r="Y13" s="3"/>
      <c r="Z13" s="3"/>
    </row>
    <row r="14" ht="86.25" customHeight="1">
      <c r="A14" s="24" t="s">
        <v>710</v>
      </c>
      <c r="B14" s="27" t="s">
        <v>711</v>
      </c>
      <c r="C14" s="27" t="s">
        <v>712</v>
      </c>
      <c r="D14" s="27" t="s">
        <v>713</v>
      </c>
      <c r="E14" s="3"/>
      <c r="F14" s="3"/>
      <c r="G14" s="3"/>
      <c r="H14" s="3"/>
      <c r="I14" s="3"/>
      <c r="J14" s="3"/>
      <c r="K14" s="3"/>
      <c r="L14" s="3"/>
      <c r="M14" s="3"/>
      <c r="N14" s="3"/>
      <c r="O14" s="3"/>
      <c r="P14" s="3"/>
      <c r="Q14" s="3"/>
      <c r="R14" s="3"/>
      <c r="S14" s="3"/>
      <c r="T14" s="3"/>
      <c r="U14" s="3"/>
      <c r="V14" s="3"/>
      <c r="W14" s="3"/>
      <c r="X14" s="3"/>
      <c r="Y14" s="3"/>
      <c r="Z14" s="3"/>
    </row>
    <row r="15" ht="51.75" customHeight="1">
      <c r="A15" s="24" t="s">
        <v>714</v>
      </c>
      <c r="B15" s="27" t="s">
        <v>711</v>
      </c>
      <c r="C15" s="27" t="s">
        <v>715</v>
      </c>
      <c r="D15" s="27" t="s">
        <v>716</v>
      </c>
      <c r="E15" s="3"/>
      <c r="F15" s="3"/>
      <c r="G15" s="3"/>
      <c r="H15" s="3"/>
      <c r="I15" s="3"/>
      <c r="J15" s="3"/>
      <c r="K15" s="3"/>
      <c r="L15" s="3"/>
      <c r="M15" s="3"/>
      <c r="N15" s="3"/>
      <c r="O15" s="3"/>
      <c r="P15" s="3"/>
      <c r="Q15" s="3"/>
      <c r="R15" s="3"/>
      <c r="S15" s="3"/>
      <c r="T15" s="3"/>
      <c r="U15" s="3"/>
      <c r="V15" s="3"/>
      <c r="W15" s="3"/>
      <c r="X15" s="3"/>
      <c r="Y15" s="3"/>
      <c r="Z15" s="3"/>
    </row>
    <row r="16" ht="15.0"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0"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D1"/>
    <mergeCell ref="A2:D2"/>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14"/>
    <col customWidth="1" min="2" max="2" width="12.0"/>
    <col customWidth="1" min="3" max="3" width="11.0"/>
    <col customWidth="1" min="4" max="4" width="95.29"/>
    <col customWidth="1" min="5" max="5" width="39.43"/>
    <col customWidth="1" min="6" max="6" width="62.57"/>
    <col customWidth="1" min="7" max="7" width="10.71"/>
  </cols>
  <sheetData>
    <row r="1" ht="19.5" customHeight="1">
      <c r="A1" s="2" t="s">
        <v>717</v>
      </c>
      <c r="H1" s="3"/>
      <c r="I1" s="3"/>
      <c r="J1" s="3"/>
      <c r="K1" s="3"/>
      <c r="L1" s="3"/>
      <c r="M1" s="3"/>
      <c r="N1" s="3"/>
      <c r="O1" s="3"/>
      <c r="P1" s="3"/>
      <c r="Q1" s="3"/>
      <c r="R1" s="3"/>
      <c r="S1" s="3"/>
      <c r="T1" s="3"/>
      <c r="U1" s="3"/>
      <c r="V1" s="3"/>
      <c r="W1" s="3"/>
      <c r="X1" s="3"/>
      <c r="Y1" s="3"/>
      <c r="Z1" s="3"/>
    </row>
    <row r="2" ht="25.5" customHeight="1">
      <c r="A2" s="5" t="s">
        <v>718</v>
      </c>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30.0" customHeight="1">
      <c r="A4" s="7" t="s">
        <v>719</v>
      </c>
      <c r="B4" s="7" t="s">
        <v>720</v>
      </c>
      <c r="C4" s="7" t="s">
        <v>721</v>
      </c>
      <c r="D4" s="7" t="s">
        <v>722</v>
      </c>
      <c r="E4" s="7" t="s">
        <v>723</v>
      </c>
      <c r="F4" s="7" t="s">
        <v>724</v>
      </c>
      <c r="G4" s="7" t="s">
        <v>725</v>
      </c>
      <c r="H4" s="3"/>
      <c r="I4" s="3"/>
      <c r="J4" s="3"/>
      <c r="K4" s="3"/>
      <c r="L4" s="3"/>
      <c r="M4" s="3"/>
      <c r="N4" s="3"/>
      <c r="O4" s="3"/>
      <c r="P4" s="3"/>
      <c r="Q4" s="3"/>
      <c r="R4" s="3"/>
      <c r="S4" s="3"/>
      <c r="T4" s="3"/>
      <c r="U4" s="3"/>
      <c r="V4" s="3"/>
      <c r="W4" s="3"/>
      <c r="X4" s="3"/>
      <c r="Y4" s="3"/>
      <c r="Z4" s="3"/>
    </row>
    <row r="5" ht="57.0" customHeight="1">
      <c r="A5" s="12">
        <v>1.0</v>
      </c>
      <c r="B5" s="12" t="s">
        <v>726</v>
      </c>
      <c r="C5" s="12" t="s">
        <v>727</v>
      </c>
      <c r="D5" s="12" t="s">
        <v>728</v>
      </c>
      <c r="E5" s="12" t="s">
        <v>729</v>
      </c>
      <c r="F5" s="12" t="s">
        <v>730</v>
      </c>
      <c r="G5" s="12">
        <v>70.0</v>
      </c>
      <c r="H5" s="3"/>
      <c r="I5" s="3"/>
      <c r="J5" s="3"/>
      <c r="K5" s="3"/>
      <c r="L5" s="3"/>
      <c r="M5" s="3"/>
      <c r="N5" s="3"/>
      <c r="O5" s="3"/>
      <c r="P5" s="3"/>
      <c r="Q5" s="3"/>
      <c r="R5" s="3"/>
      <c r="S5" s="3"/>
      <c r="T5" s="3"/>
      <c r="U5" s="3"/>
      <c r="V5" s="3"/>
      <c r="W5" s="3"/>
      <c r="X5" s="3"/>
      <c r="Y5" s="3"/>
      <c r="Z5" s="3"/>
    </row>
    <row r="6" ht="57.0" customHeight="1">
      <c r="A6" s="15">
        <v>2.0</v>
      </c>
      <c r="B6" s="15" t="s">
        <v>731</v>
      </c>
      <c r="C6" s="15" t="s">
        <v>732</v>
      </c>
      <c r="D6" s="15" t="s">
        <v>733</v>
      </c>
      <c r="E6" s="15" t="s">
        <v>734</v>
      </c>
      <c r="F6" s="15" t="s">
        <v>735</v>
      </c>
      <c r="G6" s="15">
        <v>70.0</v>
      </c>
      <c r="H6" s="3"/>
      <c r="I6" s="3"/>
      <c r="J6" s="3"/>
      <c r="K6" s="3"/>
      <c r="L6" s="3"/>
      <c r="M6" s="3"/>
      <c r="N6" s="3"/>
      <c r="O6" s="3"/>
      <c r="P6" s="3"/>
      <c r="Q6" s="3"/>
      <c r="R6" s="3"/>
      <c r="S6" s="3"/>
      <c r="T6" s="3"/>
      <c r="U6" s="3"/>
      <c r="V6" s="3"/>
      <c r="W6" s="3"/>
      <c r="X6" s="3"/>
      <c r="Y6" s="3"/>
      <c r="Z6" s="3"/>
    </row>
    <row r="7" ht="57.0" customHeight="1">
      <c r="A7" s="12">
        <v>3.0</v>
      </c>
      <c r="B7" s="12" t="s">
        <v>736</v>
      </c>
      <c r="C7" s="12" t="s">
        <v>737</v>
      </c>
      <c r="D7" s="12" t="s">
        <v>738</v>
      </c>
      <c r="E7" s="12" t="s">
        <v>739</v>
      </c>
      <c r="F7" s="12" t="s">
        <v>740</v>
      </c>
      <c r="G7" s="12">
        <v>35.0</v>
      </c>
      <c r="H7" s="3"/>
      <c r="I7" s="3"/>
      <c r="J7" s="3"/>
      <c r="K7" s="3"/>
      <c r="L7" s="3"/>
      <c r="M7" s="3"/>
      <c r="N7" s="3"/>
      <c r="O7" s="3"/>
      <c r="P7" s="3"/>
      <c r="Q7" s="3"/>
      <c r="R7" s="3"/>
      <c r="S7" s="3"/>
      <c r="T7" s="3"/>
      <c r="U7" s="3"/>
      <c r="V7" s="3"/>
      <c r="W7" s="3"/>
      <c r="X7" s="3"/>
      <c r="Y7" s="3"/>
      <c r="Z7" s="3"/>
    </row>
    <row r="8" ht="57.0" customHeight="1">
      <c r="A8" s="28">
        <v>4.0</v>
      </c>
      <c r="B8" s="28" t="s">
        <v>741</v>
      </c>
      <c r="C8" s="28" t="s">
        <v>741</v>
      </c>
      <c r="D8" s="28" t="s">
        <v>742</v>
      </c>
      <c r="E8" s="28" t="s">
        <v>207</v>
      </c>
      <c r="F8" s="28" t="s">
        <v>743</v>
      </c>
      <c r="G8" s="28">
        <v>25.0</v>
      </c>
      <c r="H8" s="3"/>
      <c r="I8" s="3"/>
      <c r="J8" s="3"/>
      <c r="K8" s="3"/>
      <c r="L8" s="3"/>
      <c r="M8" s="3"/>
      <c r="N8" s="3"/>
      <c r="O8" s="3"/>
      <c r="P8" s="3"/>
      <c r="Q8" s="3"/>
      <c r="R8" s="3"/>
      <c r="S8" s="3"/>
      <c r="T8" s="3"/>
      <c r="U8" s="3"/>
      <c r="V8" s="3"/>
      <c r="W8" s="3"/>
      <c r="X8" s="3"/>
      <c r="Y8" s="3"/>
      <c r="Z8" s="3"/>
    </row>
    <row r="9" ht="63.0" customHeight="1">
      <c r="A9" s="29">
        <v>5.0</v>
      </c>
      <c r="B9" s="29" t="s">
        <v>744</v>
      </c>
      <c r="C9" s="29" t="s">
        <v>744</v>
      </c>
      <c r="D9" s="29" t="s">
        <v>745</v>
      </c>
      <c r="E9" s="29" t="s">
        <v>746</v>
      </c>
      <c r="F9" s="29" t="s">
        <v>747</v>
      </c>
      <c r="G9" s="29"/>
      <c r="H9" s="3"/>
      <c r="I9" s="3"/>
      <c r="J9" s="3"/>
      <c r="K9" s="3"/>
      <c r="L9" s="3"/>
      <c r="M9" s="3"/>
      <c r="N9" s="3"/>
      <c r="O9" s="3"/>
      <c r="P9" s="3"/>
      <c r="Q9" s="3"/>
      <c r="R9" s="3"/>
      <c r="S9" s="3"/>
      <c r="T9" s="3"/>
      <c r="U9" s="3"/>
      <c r="V9" s="3"/>
      <c r="W9" s="3"/>
      <c r="X9" s="3"/>
      <c r="Y9" s="3"/>
      <c r="Z9" s="3"/>
    </row>
    <row r="10" ht="2.25" customHeight="1">
      <c r="A10" s="29">
        <v>6.0</v>
      </c>
      <c r="B10" s="29"/>
      <c r="C10" s="29"/>
      <c r="D10" s="29"/>
      <c r="E10" s="29"/>
      <c r="F10" s="29"/>
      <c r="G10" s="29"/>
      <c r="H10" s="3"/>
      <c r="I10" s="3"/>
      <c r="J10" s="3"/>
      <c r="K10" s="3"/>
      <c r="L10" s="3"/>
      <c r="M10" s="3"/>
      <c r="N10" s="3"/>
      <c r="O10" s="3"/>
      <c r="P10" s="3"/>
      <c r="Q10" s="3"/>
      <c r="R10" s="3"/>
      <c r="S10" s="3"/>
      <c r="T10" s="3"/>
      <c r="U10" s="3"/>
      <c r="V10" s="3"/>
      <c r="W10" s="3"/>
      <c r="X10" s="3"/>
      <c r="Y10" s="3"/>
      <c r="Z10" s="3"/>
    </row>
    <row r="11" ht="2.25" customHeight="1">
      <c r="A11" s="29">
        <v>7.0</v>
      </c>
      <c r="B11" s="29"/>
      <c r="C11" s="29"/>
      <c r="D11" s="29"/>
      <c r="E11" s="29"/>
      <c r="F11" s="29"/>
      <c r="G11" s="29"/>
      <c r="H11" s="3"/>
      <c r="I11" s="3"/>
      <c r="J11" s="3"/>
      <c r="K11" s="3"/>
      <c r="L11" s="3"/>
      <c r="M11" s="3"/>
      <c r="N11" s="3"/>
      <c r="O11" s="3"/>
      <c r="P11" s="3"/>
      <c r="Q11" s="3"/>
      <c r="R11" s="3"/>
      <c r="S11" s="3"/>
      <c r="T11" s="3"/>
      <c r="U11" s="3"/>
      <c r="V11" s="3"/>
      <c r="W11" s="3"/>
      <c r="X11" s="3"/>
      <c r="Y11" s="3"/>
      <c r="Z11" s="3"/>
    </row>
    <row r="12" ht="2.25" customHeight="1">
      <c r="A12" s="29">
        <v>8.0</v>
      </c>
      <c r="B12" s="29"/>
      <c r="C12" s="29"/>
      <c r="D12" s="29"/>
      <c r="E12" s="29"/>
      <c r="F12" s="29"/>
      <c r="G12" s="29"/>
      <c r="H12" s="3"/>
      <c r="I12" s="3"/>
      <c r="J12" s="3"/>
      <c r="K12" s="3"/>
      <c r="L12" s="3"/>
      <c r="M12" s="3"/>
      <c r="N12" s="3"/>
      <c r="O12" s="3"/>
      <c r="P12" s="3"/>
      <c r="Q12" s="3"/>
      <c r="R12" s="3"/>
      <c r="S12" s="3"/>
      <c r="T12" s="3"/>
      <c r="U12" s="3"/>
      <c r="V12" s="3"/>
      <c r="W12" s="3"/>
      <c r="X12" s="3"/>
      <c r="Y12" s="3"/>
      <c r="Z12" s="3"/>
    </row>
    <row r="13"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0"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0" customHeight="1">
      <c r="A15" s="30" t="s">
        <v>748</v>
      </c>
      <c r="B15" s="3"/>
      <c r="C15" s="3"/>
      <c r="D15" s="3"/>
      <c r="E15" s="3"/>
      <c r="F15" s="3"/>
      <c r="G15" s="3"/>
      <c r="H15" s="3"/>
      <c r="I15" s="3"/>
      <c r="J15" s="3"/>
      <c r="K15" s="3"/>
      <c r="L15" s="3"/>
      <c r="M15" s="3"/>
      <c r="N15" s="3"/>
      <c r="O15" s="3"/>
      <c r="P15" s="3"/>
      <c r="Q15" s="3"/>
      <c r="R15" s="3"/>
      <c r="S15" s="3"/>
      <c r="T15" s="3"/>
      <c r="U15" s="3"/>
      <c r="V15" s="3"/>
      <c r="W15" s="3"/>
      <c r="X15" s="3"/>
      <c r="Y15" s="3"/>
      <c r="Z15" s="3"/>
    </row>
    <row r="16" ht="24.75" customHeight="1">
      <c r="A16" s="12" t="s">
        <v>749</v>
      </c>
      <c r="B16" s="31">
        <v>1.0</v>
      </c>
      <c r="C16" s="3"/>
      <c r="D16" s="3"/>
      <c r="E16" s="3"/>
      <c r="F16" s="3"/>
      <c r="G16" s="3"/>
      <c r="H16" s="3"/>
      <c r="I16" s="3"/>
      <c r="J16" s="3"/>
      <c r="K16" s="3"/>
      <c r="L16" s="3"/>
      <c r="M16" s="3"/>
      <c r="N16" s="3"/>
      <c r="O16" s="3"/>
      <c r="P16" s="3"/>
      <c r="Q16" s="3"/>
      <c r="R16" s="3"/>
      <c r="S16" s="3"/>
      <c r="T16" s="3"/>
      <c r="U16" s="3"/>
      <c r="V16" s="3"/>
      <c r="W16" s="3"/>
      <c r="X16" s="3"/>
      <c r="Y16" s="3"/>
      <c r="Z16" s="3"/>
    </row>
    <row r="17" ht="24.75" customHeight="1">
      <c r="A17" s="12" t="s">
        <v>750</v>
      </c>
      <c r="B17" s="31">
        <v>25.0</v>
      </c>
      <c r="C17" s="3"/>
      <c r="D17" s="3"/>
      <c r="E17" s="3"/>
      <c r="F17" s="3"/>
      <c r="G17" s="3"/>
      <c r="H17" s="3"/>
      <c r="I17" s="3"/>
      <c r="J17" s="3"/>
      <c r="K17" s="3"/>
      <c r="L17" s="3"/>
      <c r="M17" s="3"/>
      <c r="N17" s="3"/>
      <c r="O17" s="3"/>
      <c r="P17" s="3"/>
      <c r="Q17" s="3"/>
      <c r="R17" s="3"/>
      <c r="S17" s="3"/>
      <c r="T17" s="3"/>
      <c r="U17" s="3"/>
      <c r="V17" s="3"/>
      <c r="W17" s="3"/>
      <c r="X17" s="3"/>
      <c r="Y17" s="3"/>
      <c r="Z17" s="3"/>
    </row>
    <row r="18" ht="24.75" customHeight="1">
      <c r="A18" s="12" t="s">
        <v>751</v>
      </c>
      <c r="B18" s="31">
        <v>9.0</v>
      </c>
      <c r="C18" s="3"/>
      <c r="D18" s="3"/>
      <c r="E18" s="3"/>
      <c r="F18" s="3"/>
      <c r="G18" s="3"/>
      <c r="H18" s="3"/>
      <c r="I18" s="3"/>
      <c r="J18" s="3"/>
      <c r="K18" s="3"/>
      <c r="L18" s="3"/>
      <c r="M18" s="3"/>
      <c r="N18" s="3"/>
      <c r="O18" s="3"/>
      <c r="P18" s="3"/>
      <c r="Q18" s="3"/>
      <c r="R18" s="3"/>
      <c r="S18" s="3"/>
      <c r="T18" s="3"/>
      <c r="U18" s="3"/>
      <c r="V18" s="3"/>
      <c r="W18" s="3"/>
      <c r="X18" s="3"/>
      <c r="Y18" s="3"/>
      <c r="Z18" s="3"/>
    </row>
    <row r="19" ht="24.75" customHeight="1">
      <c r="A19" s="32" t="s">
        <v>752</v>
      </c>
      <c r="B19" s="18">
        <f>IF(COUNT(B16:B18)=3,B16*B17*B18,"")</f>
        <v>225</v>
      </c>
      <c r="C19" s="3"/>
      <c r="D19" s="3"/>
      <c r="E19" s="3"/>
      <c r="F19" s="3"/>
      <c r="G19" s="3"/>
      <c r="H19" s="3"/>
      <c r="I19" s="3"/>
      <c r="J19" s="3"/>
      <c r="K19" s="3"/>
      <c r="L19" s="3"/>
      <c r="M19" s="3"/>
      <c r="N19" s="3"/>
      <c r="O19" s="3"/>
      <c r="P19" s="3"/>
      <c r="Q19" s="3"/>
      <c r="R19" s="3"/>
      <c r="S19" s="3"/>
      <c r="T19" s="3"/>
      <c r="U19" s="3"/>
      <c r="V19" s="3"/>
      <c r="W19" s="3"/>
      <c r="X19" s="3"/>
      <c r="Y19" s="3"/>
      <c r="Z19" s="3"/>
    </row>
    <row r="20" ht="24.75" customHeight="1">
      <c r="A20" s="12" t="s">
        <v>753</v>
      </c>
      <c r="B20" s="31">
        <v>15.0</v>
      </c>
      <c r="C20" s="3"/>
      <c r="D20" s="3"/>
      <c r="E20" s="3"/>
      <c r="F20" s="3"/>
      <c r="G20" s="3"/>
      <c r="H20" s="3"/>
      <c r="I20" s="3"/>
      <c r="J20" s="3"/>
      <c r="K20" s="3"/>
      <c r="L20" s="3"/>
      <c r="M20" s="3"/>
      <c r="N20" s="3"/>
      <c r="O20" s="3"/>
      <c r="P20" s="3"/>
      <c r="Q20" s="3"/>
      <c r="R20" s="3"/>
      <c r="S20" s="3"/>
      <c r="T20" s="3"/>
      <c r="U20" s="3"/>
      <c r="V20" s="3"/>
      <c r="W20" s="3"/>
      <c r="X20" s="3"/>
      <c r="Y20" s="3"/>
      <c r="Z20" s="3"/>
    </row>
    <row r="21" ht="24.75" customHeight="1">
      <c r="A21" s="32" t="s">
        <v>754</v>
      </c>
      <c r="B21" s="18">
        <f>IF(B19="","",B19-N(B20))</f>
        <v>210</v>
      </c>
      <c r="C21" s="3"/>
      <c r="D21" s="3"/>
      <c r="E21" s="3"/>
      <c r="F21" s="3"/>
      <c r="G21" s="3"/>
      <c r="H21" s="3"/>
      <c r="I21" s="3"/>
      <c r="J21" s="3"/>
      <c r="K21" s="3"/>
      <c r="L21" s="3"/>
      <c r="M21" s="3"/>
      <c r="N21" s="3"/>
      <c r="O21" s="3"/>
      <c r="P21" s="3"/>
      <c r="Q21" s="3"/>
      <c r="R21" s="3"/>
      <c r="S21" s="3"/>
      <c r="T21" s="3"/>
      <c r="U21" s="3"/>
      <c r="V21" s="3"/>
      <c r="W21" s="3"/>
      <c r="X21" s="3"/>
      <c r="Y21" s="3"/>
      <c r="Z21" s="3"/>
    </row>
    <row r="22" ht="24.75" customHeight="1">
      <c r="A22" s="32" t="s">
        <v>755</v>
      </c>
      <c r="B22" s="18">
        <f>SUM(G5:G12)</f>
        <v>200</v>
      </c>
      <c r="C22" s="3"/>
      <c r="D22" s="3"/>
      <c r="E22" s="3"/>
      <c r="F22" s="3"/>
      <c r="G22" s="3"/>
      <c r="H22" s="3"/>
      <c r="I22" s="3"/>
      <c r="J22" s="3"/>
      <c r="K22" s="3"/>
      <c r="L22" s="3"/>
      <c r="M22" s="3"/>
      <c r="N22" s="3"/>
      <c r="O22" s="3"/>
      <c r="P22" s="3"/>
      <c r="Q22" s="3"/>
      <c r="R22" s="3"/>
      <c r="S22" s="3"/>
      <c r="T22" s="3"/>
      <c r="U22" s="3"/>
      <c r="V22" s="3"/>
      <c r="W22" s="3"/>
      <c r="X22" s="3"/>
      <c r="Y22" s="3"/>
      <c r="Z22" s="3"/>
    </row>
    <row r="23" ht="24.75" customHeight="1">
      <c r="A23" s="32" t="s">
        <v>756</v>
      </c>
      <c r="B23" s="18">
        <f>IF(B21="","",B21-B22)</f>
        <v>10</v>
      </c>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0" t="s">
        <v>757</v>
      </c>
      <c r="B25" s="3"/>
      <c r="C25" s="3"/>
      <c r="D25" s="3"/>
      <c r="E25" s="3"/>
      <c r="F25" s="3"/>
      <c r="G25" s="3"/>
      <c r="H25" s="3"/>
      <c r="I25" s="3"/>
      <c r="J25" s="3"/>
      <c r="K25" s="3"/>
      <c r="L25" s="3"/>
      <c r="M25" s="3"/>
      <c r="N25" s="3"/>
      <c r="O25" s="3"/>
      <c r="P25" s="3"/>
      <c r="Q25" s="3"/>
      <c r="R25" s="3"/>
      <c r="S25" s="3"/>
      <c r="T25" s="3"/>
      <c r="U25" s="3"/>
      <c r="V25" s="3"/>
      <c r="W25" s="3"/>
      <c r="X25" s="3"/>
      <c r="Y25" s="3"/>
      <c r="Z25" s="3"/>
    </row>
    <row r="26" ht="48.0" customHeight="1">
      <c r="A26" s="32" t="s">
        <v>758</v>
      </c>
      <c r="B26" s="33" t="s">
        <v>759</v>
      </c>
      <c r="C26" s="34"/>
      <c r="D26" s="34"/>
      <c r="E26" s="34"/>
      <c r="F26" s="35"/>
      <c r="G26" s="3"/>
      <c r="H26" s="3"/>
      <c r="I26" s="3"/>
      <c r="J26" s="3"/>
      <c r="K26" s="3"/>
      <c r="L26" s="3"/>
      <c r="M26" s="3"/>
      <c r="N26" s="3"/>
      <c r="O26" s="3"/>
      <c r="P26" s="3"/>
      <c r="Q26" s="3"/>
      <c r="R26" s="3"/>
      <c r="S26" s="3"/>
      <c r="T26" s="3"/>
      <c r="U26" s="3"/>
      <c r="V26" s="3"/>
      <c r="W26" s="3"/>
      <c r="X26" s="3"/>
      <c r="Y26" s="3"/>
      <c r="Z26" s="3"/>
    </row>
    <row r="27" ht="25.5" customHeight="1">
      <c r="A27" s="32" t="s">
        <v>760</v>
      </c>
      <c r="B27" s="33" t="s">
        <v>761</v>
      </c>
      <c r="C27" s="34"/>
      <c r="D27" s="34"/>
      <c r="E27" s="34"/>
      <c r="F27" s="35"/>
      <c r="G27" s="3"/>
      <c r="H27" s="3"/>
      <c r="I27" s="3"/>
      <c r="J27" s="3"/>
      <c r="K27" s="3"/>
      <c r="L27" s="3"/>
      <c r="M27" s="3"/>
      <c r="N27" s="3"/>
      <c r="O27" s="3"/>
      <c r="P27" s="3"/>
      <c r="Q27" s="3"/>
      <c r="R27" s="3"/>
      <c r="S27" s="3"/>
      <c r="T27" s="3"/>
      <c r="U27" s="3"/>
      <c r="V27" s="3"/>
      <c r="W27" s="3"/>
      <c r="X27" s="3"/>
      <c r="Y27" s="3"/>
      <c r="Z27" s="3"/>
    </row>
    <row r="28" ht="25.5" customHeight="1">
      <c r="A28" s="32" t="s">
        <v>762</v>
      </c>
      <c r="B28" s="33" t="s">
        <v>763</v>
      </c>
      <c r="C28" s="34"/>
      <c r="D28" s="34"/>
      <c r="E28" s="34"/>
      <c r="F28" s="35"/>
      <c r="G28" s="3"/>
      <c r="H28" s="3"/>
      <c r="I28" s="3"/>
      <c r="J28" s="3"/>
      <c r="K28" s="3"/>
      <c r="L28" s="3"/>
      <c r="M28" s="3"/>
      <c r="N28" s="3"/>
      <c r="O28" s="3"/>
      <c r="P28" s="3"/>
      <c r="Q28" s="3"/>
      <c r="R28" s="3"/>
      <c r="S28" s="3"/>
      <c r="T28" s="3"/>
      <c r="U28" s="3"/>
      <c r="V28" s="3"/>
      <c r="W28" s="3"/>
      <c r="X28" s="3"/>
      <c r="Y28" s="3"/>
      <c r="Z28" s="3"/>
    </row>
    <row r="29" ht="39.75" customHeight="1">
      <c r="A29" s="32" t="s">
        <v>764</v>
      </c>
      <c r="B29" s="33" t="s">
        <v>765</v>
      </c>
      <c r="C29" s="34"/>
      <c r="D29" s="34"/>
      <c r="E29" s="34"/>
      <c r="F29" s="34"/>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mergeCells count="6">
    <mergeCell ref="A1:G1"/>
    <mergeCell ref="A2:G2"/>
    <mergeCell ref="B26:F26"/>
    <mergeCell ref="B27:F27"/>
    <mergeCell ref="B28:F28"/>
    <mergeCell ref="B29:F29"/>
  </mergeCells>
  <printOptions/>
  <pageMargins bottom="1.0" footer="0.0" header="0.0" left="0.75" right="0.75" top="1.0"/>
  <pageSetup paperSize="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9.0"/>
    <col customWidth="1" min="2" max="2" width="52.0"/>
    <col customWidth="1" min="3" max="3" width="14.0"/>
    <col customWidth="1" min="4" max="4" width="11.0"/>
    <col customWidth="1" min="5" max="5" width="16.0"/>
    <col customWidth="1" min="6" max="6" width="15.0"/>
    <col customWidth="1" min="7" max="7" width="17.0"/>
    <col customWidth="1" min="8" max="8" width="15.0"/>
    <col customWidth="1" min="9" max="9" width="11.0"/>
    <col customWidth="1" min="10" max="10" width="110.0"/>
  </cols>
  <sheetData>
    <row r="1" ht="19.5" customHeight="1">
      <c r="A1" s="2" t="s">
        <v>766</v>
      </c>
      <c r="K1" s="3"/>
      <c r="L1" s="3"/>
      <c r="M1" s="3"/>
      <c r="N1" s="3"/>
      <c r="O1" s="3"/>
      <c r="P1" s="3"/>
      <c r="Q1" s="3"/>
      <c r="R1" s="3"/>
      <c r="S1" s="3"/>
      <c r="T1" s="3"/>
      <c r="U1" s="3"/>
      <c r="V1" s="3"/>
      <c r="W1" s="3"/>
      <c r="X1" s="3"/>
      <c r="Y1" s="3"/>
      <c r="Z1" s="3"/>
    </row>
    <row r="2" ht="48.0" customHeight="1">
      <c r="A2" s="4" t="s">
        <v>767</v>
      </c>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30.0" customHeight="1">
      <c r="A4" s="7" t="s">
        <v>768</v>
      </c>
      <c r="B4" s="7" t="s">
        <v>769</v>
      </c>
      <c r="C4" s="7" t="s">
        <v>770</v>
      </c>
      <c r="D4" s="7" t="s">
        <v>771</v>
      </c>
      <c r="E4" s="7" t="s">
        <v>772</v>
      </c>
      <c r="F4" s="7" t="s">
        <v>773</v>
      </c>
      <c r="G4" s="7" t="s">
        <v>774</v>
      </c>
      <c r="H4" s="7" t="s">
        <v>775</v>
      </c>
      <c r="I4" s="7" t="s">
        <v>776</v>
      </c>
      <c r="J4" s="7" t="s">
        <v>777</v>
      </c>
      <c r="K4" s="3"/>
      <c r="L4" s="3"/>
      <c r="M4" s="3"/>
      <c r="N4" s="3"/>
      <c r="O4" s="3"/>
      <c r="P4" s="3"/>
      <c r="Q4" s="3"/>
      <c r="R4" s="3"/>
      <c r="S4" s="3"/>
      <c r="T4" s="3"/>
      <c r="U4" s="3"/>
      <c r="V4" s="3"/>
      <c r="W4" s="3"/>
      <c r="X4" s="3"/>
      <c r="Y4" s="3"/>
      <c r="Z4" s="3"/>
    </row>
    <row r="5" ht="18.0" customHeight="1">
      <c r="A5" s="36" t="s">
        <v>778</v>
      </c>
      <c r="B5" s="36"/>
      <c r="C5" s="36"/>
      <c r="D5" s="36"/>
      <c r="E5" s="36"/>
      <c r="F5" s="36"/>
      <c r="G5" s="36"/>
      <c r="H5" s="36"/>
      <c r="I5" s="36"/>
      <c r="J5" s="36"/>
      <c r="K5" s="3"/>
      <c r="L5" s="3"/>
      <c r="M5" s="3"/>
      <c r="N5" s="3"/>
      <c r="O5" s="3"/>
      <c r="P5" s="3"/>
      <c r="Q5" s="3"/>
      <c r="R5" s="3"/>
      <c r="S5" s="3"/>
      <c r="T5" s="3"/>
      <c r="U5" s="3"/>
      <c r="V5" s="3"/>
      <c r="W5" s="3"/>
      <c r="X5" s="3"/>
      <c r="Y5" s="3"/>
      <c r="Z5" s="3"/>
    </row>
    <row r="6" ht="15.0" customHeight="1">
      <c r="A6" s="37" t="s">
        <v>779</v>
      </c>
      <c r="B6" s="38"/>
      <c r="C6" s="38"/>
      <c r="D6" s="38"/>
      <c r="E6" s="38"/>
      <c r="F6" s="38"/>
      <c r="G6" s="38"/>
      <c r="H6" s="38"/>
      <c r="I6" s="38"/>
      <c r="J6" s="38"/>
      <c r="K6" s="3"/>
      <c r="L6" s="3"/>
      <c r="M6" s="3"/>
      <c r="N6" s="3"/>
      <c r="O6" s="3"/>
      <c r="P6" s="3"/>
      <c r="Q6" s="3"/>
      <c r="R6" s="3"/>
      <c r="S6" s="3"/>
      <c r="T6" s="3"/>
      <c r="U6" s="3"/>
      <c r="V6" s="3"/>
      <c r="W6" s="3"/>
      <c r="X6" s="3"/>
      <c r="Y6" s="3"/>
      <c r="Z6" s="3"/>
    </row>
    <row r="7" ht="52.5" customHeight="1">
      <c r="A7" s="39" t="s">
        <v>780</v>
      </c>
      <c r="B7" s="39" t="s">
        <v>781</v>
      </c>
      <c r="C7" s="40">
        <f>$C$77-$C$78-$C$79</f>
        <v>193</v>
      </c>
      <c r="D7" s="41" t="s">
        <v>782</v>
      </c>
      <c r="E7" s="42">
        <f t="shared" ref="E7:E9" si="1">$C$76</f>
        <v>21600</v>
      </c>
      <c r="F7" s="43">
        <f t="shared" ref="F7:F9" si="2">IF(E7="","",E7/$C$74)</f>
        <v>13.97951483</v>
      </c>
      <c r="G7" s="42">
        <f t="shared" ref="G7:G9" si="3">IF(OR(C7="",E7=""),"",C7*E7)</f>
        <v>4168800</v>
      </c>
      <c r="H7" s="43">
        <f t="shared" ref="H7:H9" si="4">IF(OR(C7="",F7=""),"",C7*F7)</f>
        <v>2698.046363</v>
      </c>
      <c r="I7" s="41" t="s">
        <v>783</v>
      </c>
      <c r="J7" s="39" t="s">
        <v>784</v>
      </c>
      <c r="K7" s="3"/>
      <c r="L7" s="3"/>
      <c r="M7" s="3"/>
      <c r="N7" s="3"/>
      <c r="O7" s="3"/>
      <c r="P7" s="3"/>
      <c r="Q7" s="3"/>
      <c r="R7" s="3"/>
      <c r="S7" s="3"/>
      <c r="T7" s="3"/>
      <c r="U7" s="3"/>
      <c r="V7" s="3"/>
      <c r="W7" s="3"/>
      <c r="X7" s="3"/>
      <c r="Y7" s="3"/>
      <c r="Z7" s="3"/>
    </row>
    <row r="8" ht="75.0" customHeight="1">
      <c r="A8" s="44" t="s">
        <v>780</v>
      </c>
      <c r="B8" s="44" t="s">
        <v>785</v>
      </c>
      <c r="C8" s="45">
        <f>$C$78</f>
        <v>3</v>
      </c>
      <c r="D8" s="46" t="s">
        <v>782</v>
      </c>
      <c r="E8" s="47">
        <f t="shared" si="1"/>
        <v>21600</v>
      </c>
      <c r="F8" s="48">
        <f t="shared" si="2"/>
        <v>13.97951483</v>
      </c>
      <c r="G8" s="47">
        <f t="shared" si="3"/>
        <v>64800</v>
      </c>
      <c r="H8" s="48">
        <f t="shared" si="4"/>
        <v>41.9385445</v>
      </c>
      <c r="I8" s="46" t="s">
        <v>783</v>
      </c>
      <c r="J8" s="44" t="s">
        <v>786</v>
      </c>
      <c r="K8" s="3"/>
      <c r="L8" s="3"/>
      <c r="M8" s="3"/>
      <c r="N8" s="3"/>
      <c r="O8" s="3"/>
      <c r="P8" s="3"/>
      <c r="Q8" s="3"/>
      <c r="R8" s="3"/>
      <c r="S8" s="3"/>
      <c r="T8" s="3"/>
      <c r="U8" s="3"/>
      <c r="V8" s="3"/>
      <c r="W8" s="3"/>
      <c r="X8" s="3"/>
      <c r="Y8" s="3"/>
      <c r="Z8" s="3"/>
    </row>
    <row r="9" ht="27.75" customHeight="1">
      <c r="A9" s="39" t="s">
        <v>780</v>
      </c>
      <c r="B9" s="39" t="s">
        <v>787</v>
      </c>
      <c r="C9" s="40">
        <f>$C$79</f>
        <v>4</v>
      </c>
      <c r="D9" s="41" t="s">
        <v>782</v>
      </c>
      <c r="E9" s="42">
        <f t="shared" si="1"/>
        <v>21600</v>
      </c>
      <c r="F9" s="43">
        <f t="shared" si="2"/>
        <v>13.97951483</v>
      </c>
      <c r="G9" s="42">
        <f t="shared" si="3"/>
        <v>86400</v>
      </c>
      <c r="H9" s="43">
        <f t="shared" si="4"/>
        <v>55.91805933</v>
      </c>
      <c r="I9" s="41" t="s">
        <v>783</v>
      </c>
      <c r="J9" s="39" t="s">
        <v>788</v>
      </c>
      <c r="K9" s="3"/>
      <c r="L9" s="3"/>
      <c r="M9" s="3"/>
      <c r="N9" s="3"/>
      <c r="O9" s="3"/>
      <c r="P9" s="3"/>
      <c r="Q9" s="3"/>
      <c r="R9" s="3"/>
      <c r="S9" s="3"/>
      <c r="T9" s="3"/>
      <c r="U9" s="3"/>
      <c r="V9" s="3"/>
      <c r="W9" s="3"/>
      <c r="X9" s="3"/>
      <c r="Y9" s="3"/>
      <c r="Z9" s="3"/>
    </row>
    <row r="10" ht="15.0" customHeight="1">
      <c r="A10" s="37" t="s">
        <v>789</v>
      </c>
      <c r="B10" s="38"/>
      <c r="C10" s="38"/>
      <c r="D10" s="38"/>
      <c r="E10" s="38"/>
      <c r="F10" s="38"/>
      <c r="G10" s="38"/>
      <c r="H10" s="38"/>
      <c r="I10" s="38"/>
      <c r="J10" s="38"/>
      <c r="K10" s="3"/>
      <c r="L10" s="3"/>
      <c r="M10" s="3"/>
      <c r="N10" s="3"/>
      <c r="O10" s="3"/>
      <c r="P10" s="3"/>
      <c r="Q10" s="3"/>
      <c r="R10" s="3"/>
      <c r="S10" s="3"/>
      <c r="T10" s="3"/>
      <c r="U10" s="3"/>
      <c r="V10" s="3"/>
      <c r="W10" s="3"/>
      <c r="X10" s="3"/>
      <c r="Y10" s="3"/>
      <c r="Z10" s="3"/>
    </row>
    <row r="11" ht="15.0" customHeight="1">
      <c r="A11" s="39" t="s">
        <v>790</v>
      </c>
      <c r="B11" s="39" t="s">
        <v>791</v>
      </c>
      <c r="C11" s="49">
        <v>1.0</v>
      </c>
      <c r="D11" s="41" t="s">
        <v>792</v>
      </c>
      <c r="E11" s="50">
        <v>0.0</v>
      </c>
      <c r="F11" s="51">
        <f t="shared" ref="F11:F15" si="5">IF(E11="","",E11/$C$74)</f>
        <v>0</v>
      </c>
      <c r="G11" s="42">
        <f t="shared" ref="G11:G16" si="6">IF(OR(C11="",E11=""),"",C11*E11)</f>
        <v>0</v>
      </c>
      <c r="H11" s="42">
        <f t="shared" ref="H11:H16" si="7">IF(OR(C11="",F11=""),"",C11*F11)</f>
        <v>0</v>
      </c>
      <c r="I11" s="41" t="s">
        <v>783</v>
      </c>
      <c r="J11" s="39" t="s">
        <v>793</v>
      </c>
      <c r="K11" s="3"/>
      <c r="L11" s="3"/>
      <c r="M11" s="3"/>
      <c r="N11" s="3"/>
      <c r="O11" s="3"/>
      <c r="P11" s="3"/>
      <c r="Q11" s="3"/>
      <c r="R11" s="3"/>
      <c r="S11" s="3"/>
      <c r="T11" s="3"/>
      <c r="U11" s="3"/>
      <c r="V11" s="3"/>
      <c r="W11" s="3"/>
      <c r="X11" s="3"/>
      <c r="Y11" s="3"/>
      <c r="Z11" s="3"/>
    </row>
    <row r="12" ht="15.0" customHeight="1">
      <c r="A12" s="44" t="s">
        <v>790</v>
      </c>
      <c r="B12" s="44" t="s">
        <v>794</v>
      </c>
      <c r="C12" s="52">
        <v>1.0</v>
      </c>
      <c r="D12" s="46" t="s">
        <v>792</v>
      </c>
      <c r="E12" s="53">
        <v>0.0</v>
      </c>
      <c r="F12" s="54">
        <f t="shared" si="5"/>
        <v>0</v>
      </c>
      <c r="G12" s="47">
        <f t="shared" si="6"/>
        <v>0</v>
      </c>
      <c r="H12" s="47">
        <f t="shared" si="7"/>
        <v>0</v>
      </c>
      <c r="I12" s="46" t="s">
        <v>783</v>
      </c>
      <c r="J12" s="44" t="s">
        <v>793</v>
      </c>
      <c r="K12" s="3"/>
      <c r="L12" s="3"/>
      <c r="M12" s="3"/>
      <c r="N12" s="3"/>
      <c r="O12" s="3"/>
      <c r="P12" s="3"/>
      <c r="Q12" s="3"/>
      <c r="R12" s="3"/>
      <c r="S12" s="3"/>
      <c r="T12" s="3"/>
      <c r="U12" s="3"/>
      <c r="V12" s="3"/>
      <c r="W12" s="3"/>
      <c r="X12" s="3"/>
      <c r="Y12" s="3"/>
      <c r="Z12" s="3"/>
    </row>
    <row r="13" ht="15.0" customHeight="1">
      <c r="A13" s="39" t="s">
        <v>790</v>
      </c>
      <c r="B13" s="39" t="s">
        <v>795</v>
      </c>
      <c r="C13" s="49">
        <v>1.0</v>
      </c>
      <c r="D13" s="41" t="s">
        <v>792</v>
      </c>
      <c r="E13" s="50">
        <v>0.0</v>
      </c>
      <c r="F13" s="51">
        <f t="shared" si="5"/>
        <v>0</v>
      </c>
      <c r="G13" s="42">
        <f t="shared" si="6"/>
        <v>0</v>
      </c>
      <c r="H13" s="42">
        <f t="shared" si="7"/>
        <v>0</v>
      </c>
      <c r="I13" s="41" t="s">
        <v>783</v>
      </c>
      <c r="J13" s="39" t="s">
        <v>796</v>
      </c>
      <c r="K13" s="3"/>
      <c r="L13" s="3"/>
      <c r="M13" s="3"/>
      <c r="N13" s="3"/>
      <c r="O13" s="3"/>
      <c r="P13" s="3"/>
      <c r="Q13" s="3"/>
      <c r="R13" s="3"/>
      <c r="S13" s="3"/>
      <c r="T13" s="3"/>
      <c r="U13" s="3"/>
      <c r="V13" s="3"/>
      <c r="W13" s="3"/>
      <c r="X13" s="3"/>
      <c r="Y13" s="3"/>
      <c r="Z13" s="3"/>
    </row>
    <row r="14" ht="15.0" customHeight="1">
      <c r="A14" s="44" t="s">
        <v>790</v>
      </c>
      <c r="B14" s="44" t="s">
        <v>797</v>
      </c>
      <c r="C14" s="52">
        <v>1.0</v>
      </c>
      <c r="D14" s="46" t="s">
        <v>798</v>
      </c>
      <c r="E14" s="53">
        <v>0.0</v>
      </c>
      <c r="F14" s="54">
        <f t="shared" si="5"/>
        <v>0</v>
      </c>
      <c r="G14" s="47">
        <f t="shared" si="6"/>
        <v>0</v>
      </c>
      <c r="H14" s="47">
        <f t="shared" si="7"/>
        <v>0</v>
      </c>
      <c r="I14" s="46" t="s">
        <v>783</v>
      </c>
      <c r="J14" s="44" t="s">
        <v>799</v>
      </c>
      <c r="K14" s="3"/>
      <c r="L14" s="3"/>
      <c r="M14" s="3"/>
      <c r="N14" s="3"/>
      <c r="O14" s="3"/>
      <c r="P14" s="3"/>
      <c r="Q14" s="3"/>
      <c r="R14" s="3"/>
      <c r="S14" s="3"/>
      <c r="T14" s="3"/>
      <c r="U14" s="3"/>
      <c r="V14" s="3"/>
      <c r="W14" s="3"/>
      <c r="X14" s="3"/>
      <c r="Y14" s="3"/>
      <c r="Z14" s="3"/>
    </row>
    <row r="15" ht="15.0" customHeight="1">
      <c r="A15" s="39" t="s">
        <v>790</v>
      </c>
      <c r="B15" s="39" t="s">
        <v>800</v>
      </c>
      <c r="C15" s="49">
        <v>1.0</v>
      </c>
      <c r="D15" s="41" t="s">
        <v>798</v>
      </c>
      <c r="E15" s="50">
        <v>0.0</v>
      </c>
      <c r="F15" s="51">
        <f t="shared" si="5"/>
        <v>0</v>
      </c>
      <c r="G15" s="42">
        <f t="shared" si="6"/>
        <v>0</v>
      </c>
      <c r="H15" s="42">
        <f t="shared" si="7"/>
        <v>0</v>
      </c>
      <c r="I15" s="41" t="s">
        <v>783</v>
      </c>
      <c r="J15" s="39" t="s">
        <v>801</v>
      </c>
      <c r="K15" s="3"/>
      <c r="L15" s="3"/>
      <c r="M15" s="3"/>
      <c r="N15" s="3"/>
      <c r="O15" s="3"/>
      <c r="P15" s="3"/>
      <c r="Q15" s="3"/>
      <c r="R15" s="3"/>
      <c r="S15" s="3"/>
      <c r="T15" s="3"/>
      <c r="U15" s="3"/>
      <c r="V15" s="3"/>
      <c r="W15" s="3"/>
      <c r="X15" s="3"/>
      <c r="Y15" s="3"/>
      <c r="Z15" s="3"/>
    </row>
    <row r="16" ht="40.5" customHeight="1">
      <c r="A16" s="44" t="s">
        <v>790</v>
      </c>
      <c r="B16" s="44" t="s">
        <v>802</v>
      </c>
      <c r="C16" s="52">
        <v>2.0</v>
      </c>
      <c r="D16" s="46" t="s">
        <v>803</v>
      </c>
      <c r="E16" s="55">
        <v>32704.46</v>
      </c>
      <c r="F16" s="56">
        <v>20.0</v>
      </c>
      <c r="G16" s="57">
        <f t="shared" si="6"/>
        <v>65408.92</v>
      </c>
      <c r="H16" s="54">
        <f t="shared" si="7"/>
        <v>40</v>
      </c>
      <c r="I16" s="46" t="s">
        <v>783</v>
      </c>
      <c r="J16" s="44" t="s">
        <v>804</v>
      </c>
      <c r="K16" s="3"/>
      <c r="L16" s="3"/>
      <c r="M16" s="3"/>
      <c r="N16" s="3"/>
      <c r="O16" s="3"/>
      <c r="P16" s="3"/>
      <c r="Q16" s="3"/>
      <c r="R16" s="3"/>
      <c r="S16" s="3"/>
      <c r="T16" s="3"/>
      <c r="U16" s="3"/>
      <c r="V16" s="3"/>
      <c r="W16" s="3"/>
      <c r="X16" s="3"/>
      <c r="Y16" s="3"/>
      <c r="Z16" s="3"/>
    </row>
    <row r="17" ht="15.0" customHeight="1">
      <c r="A17" s="37" t="s">
        <v>805</v>
      </c>
      <c r="B17" s="38"/>
      <c r="C17" s="38"/>
      <c r="D17" s="38"/>
      <c r="E17" s="38"/>
      <c r="F17" s="38"/>
      <c r="G17" s="38"/>
      <c r="H17" s="38"/>
      <c r="I17" s="38"/>
      <c r="J17" s="38"/>
      <c r="K17" s="3"/>
      <c r="L17" s="3"/>
      <c r="M17" s="3"/>
      <c r="N17" s="3"/>
      <c r="O17" s="3"/>
      <c r="P17" s="3"/>
      <c r="Q17" s="3"/>
      <c r="R17" s="3"/>
      <c r="S17" s="3"/>
      <c r="T17" s="3"/>
      <c r="U17" s="3"/>
      <c r="V17" s="3"/>
      <c r="W17" s="3"/>
      <c r="X17" s="3"/>
      <c r="Y17" s="3"/>
      <c r="Z17" s="3"/>
    </row>
    <row r="18" ht="27.75" customHeight="1">
      <c r="A18" s="39" t="s">
        <v>806</v>
      </c>
      <c r="B18" s="39" t="s">
        <v>807</v>
      </c>
      <c r="C18" s="58">
        <f t="shared" ref="C18:C20" si="8">$C$84/$C$85</f>
        <v>0.2086956522</v>
      </c>
      <c r="D18" s="41" t="s">
        <v>808</v>
      </c>
      <c r="E18" s="59">
        <f t="shared" ref="E18:E20" si="9">(2180+2217)/2</f>
        <v>2198.5</v>
      </c>
      <c r="F18" s="43">
        <f t="shared" ref="F18:F20" si="10">IF(E18="","",E18/$C$74)</f>
        <v>1.422868674</v>
      </c>
      <c r="G18" s="59">
        <f t="shared" ref="G18:G20" si="11">IF(OR(C18="",E18=""),"",C18*E18)</f>
        <v>458.8173913</v>
      </c>
      <c r="H18" s="43">
        <f t="shared" ref="H18:H20" si="12">IF(OR(C18="",F18=""),"",C18*F18)</f>
        <v>0.2969465059</v>
      </c>
      <c r="I18" s="41" t="s">
        <v>783</v>
      </c>
      <c r="J18" s="39" t="s">
        <v>809</v>
      </c>
      <c r="K18" s="3"/>
      <c r="L18" s="3"/>
      <c r="M18" s="3"/>
      <c r="N18" s="3"/>
      <c r="O18" s="3"/>
      <c r="P18" s="3"/>
      <c r="Q18" s="3"/>
      <c r="R18" s="3"/>
      <c r="S18" s="3"/>
      <c r="T18" s="3"/>
      <c r="U18" s="3"/>
      <c r="V18" s="3"/>
      <c r="W18" s="3"/>
      <c r="X18" s="3"/>
      <c r="Y18" s="3"/>
      <c r="Z18" s="3"/>
    </row>
    <row r="19" ht="40.5" customHeight="1">
      <c r="A19" s="44" t="s">
        <v>806</v>
      </c>
      <c r="B19" s="44" t="s">
        <v>810</v>
      </c>
      <c r="C19" s="60">
        <f t="shared" si="8"/>
        <v>0.2086956522</v>
      </c>
      <c r="D19" s="46" t="s">
        <v>808</v>
      </c>
      <c r="E19" s="55">
        <f t="shared" si="9"/>
        <v>2198.5</v>
      </c>
      <c r="F19" s="48">
        <f t="shared" si="10"/>
        <v>1.422868674</v>
      </c>
      <c r="G19" s="57">
        <f t="shared" si="11"/>
        <v>458.8173913</v>
      </c>
      <c r="H19" s="48">
        <f t="shared" si="12"/>
        <v>0.2969465059</v>
      </c>
      <c r="I19" s="46" t="s">
        <v>783</v>
      </c>
      <c r="J19" s="44" t="s">
        <v>811</v>
      </c>
      <c r="K19" s="3"/>
      <c r="L19" s="3"/>
      <c r="M19" s="3"/>
      <c r="N19" s="3"/>
      <c r="O19" s="3"/>
      <c r="P19" s="3"/>
      <c r="Q19" s="3"/>
      <c r="R19" s="3"/>
      <c r="S19" s="3"/>
      <c r="T19" s="3"/>
      <c r="U19" s="3"/>
      <c r="V19" s="3"/>
      <c r="W19" s="3"/>
      <c r="X19" s="3"/>
      <c r="Y19" s="3"/>
      <c r="Z19" s="3"/>
    </row>
    <row r="20" ht="60.0" customHeight="1">
      <c r="A20" s="44" t="s">
        <v>806</v>
      </c>
      <c r="B20" s="44" t="s">
        <v>812</v>
      </c>
      <c r="C20" s="60">
        <f t="shared" si="8"/>
        <v>0.2086956522</v>
      </c>
      <c r="D20" s="46" t="s">
        <v>808</v>
      </c>
      <c r="E20" s="55">
        <f t="shared" si="9"/>
        <v>2198.5</v>
      </c>
      <c r="F20" s="48">
        <f t="shared" si="10"/>
        <v>1.422868674</v>
      </c>
      <c r="G20" s="57">
        <f t="shared" si="11"/>
        <v>458.8173913</v>
      </c>
      <c r="H20" s="48">
        <f t="shared" si="12"/>
        <v>0.2969465059</v>
      </c>
      <c r="I20" s="46" t="s">
        <v>783</v>
      </c>
      <c r="J20" s="44" t="s">
        <v>813</v>
      </c>
      <c r="K20" s="3"/>
      <c r="L20" s="3"/>
      <c r="M20" s="3"/>
      <c r="N20" s="3"/>
      <c r="O20" s="3"/>
      <c r="P20" s="3"/>
      <c r="Q20" s="3"/>
      <c r="R20" s="3"/>
      <c r="S20" s="3"/>
      <c r="T20" s="3"/>
      <c r="U20" s="3"/>
      <c r="V20" s="3"/>
      <c r="W20" s="3"/>
      <c r="X20" s="3"/>
      <c r="Y20" s="3"/>
      <c r="Z20" s="3"/>
    </row>
    <row r="21" ht="15.75" customHeight="1">
      <c r="A21" s="61"/>
      <c r="B21" s="61" t="s">
        <v>814</v>
      </c>
      <c r="C21" s="61"/>
      <c r="D21" s="61"/>
      <c r="E21" s="61"/>
      <c r="F21" s="61"/>
      <c r="G21" s="62">
        <f t="shared" ref="G21:H21" si="13">SUM(G6:G20)</f>
        <v>4386785.372</v>
      </c>
      <c r="H21" s="63">
        <f t="shared" si="13"/>
        <v>2836.793806</v>
      </c>
      <c r="I21" s="61"/>
      <c r="J21" s="61"/>
      <c r="K21" s="3"/>
      <c r="L21" s="3"/>
      <c r="M21" s="3"/>
      <c r="N21" s="3"/>
      <c r="O21" s="3"/>
      <c r="P21" s="3"/>
      <c r="Q21" s="3"/>
      <c r="R21" s="3"/>
      <c r="S21" s="3"/>
      <c r="T21" s="3"/>
      <c r="U21" s="3"/>
      <c r="V21" s="3"/>
      <c r="W21" s="3"/>
      <c r="X21" s="3"/>
      <c r="Y21" s="3"/>
      <c r="Z21" s="3"/>
    </row>
    <row r="22" ht="18.0" customHeight="1">
      <c r="A22" s="36" t="s">
        <v>815</v>
      </c>
      <c r="B22" s="36"/>
      <c r="C22" s="36"/>
      <c r="D22" s="36"/>
      <c r="E22" s="36"/>
      <c r="F22" s="36"/>
      <c r="G22" s="36"/>
      <c r="H22" s="36"/>
      <c r="I22" s="36"/>
      <c r="J22" s="36"/>
      <c r="K22" s="3"/>
      <c r="L22" s="3"/>
      <c r="M22" s="3"/>
      <c r="N22" s="3"/>
      <c r="O22" s="3"/>
      <c r="P22" s="3"/>
      <c r="Q22" s="3"/>
      <c r="R22" s="3"/>
      <c r="S22" s="3"/>
      <c r="T22" s="3"/>
      <c r="U22" s="3"/>
      <c r="V22" s="3"/>
      <c r="W22" s="3"/>
      <c r="X22" s="3"/>
      <c r="Y22" s="3"/>
      <c r="Z22" s="3"/>
    </row>
    <row r="23" ht="15.0" customHeight="1">
      <c r="A23" s="37" t="s">
        <v>816</v>
      </c>
      <c r="B23" s="38"/>
      <c r="C23" s="38"/>
      <c r="D23" s="38"/>
      <c r="E23" s="38"/>
      <c r="F23" s="38"/>
      <c r="G23" s="38"/>
      <c r="H23" s="38"/>
      <c r="I23" s="38"/>
      <c r="J23" s="38"/>
      <c r="K23" s="3"/>
      <c r="L23" s="3"/>
      <c r="M23" s="3"/>
      <c r="N23" s="3"/>
      <c r="O23" s="3"/>
      <c r="P23" s="3"/>
      <c r="Q23" s="3"/>
      <c r="R23" s="3"/>
      <c r="S23" s="3"/>
      <c r="T23" s="3"/>
      <c r="U23" s="3"/>
      <c r="V23" s="3"/>
      <c r="W23" s="3"/>
      <c r="X23" s="3"/>
      <c r="Y23" s="3"/>
      <c r="Z23" s="3"/>
    </row>
    <row r="24" ht="40.5" customHeight="1">
      <c r="A24" s="39" t="s">
        <v>790</v>
      </c>
      <c r="B24" s="39" t="s">
        <v>817</v>
      </c>
      <c r="C24" s="40">
        <f>$C$77</f>
        <v>200</v>
      </c>
      <c r="D24" s="41" t="s">
        <v>782</v>
      </c>
      <c r="E24" s="59">
        <f>$C$86/$C$80</f>
        <v>53.31251389</v>
      </c>
      <c r="F24" s="43">
        <f t="shared" ref="F24:F27" si="14">IF(E24="","",E24/$C$74)</f>
        <v>0.03450384624</v>
      </c>
      <c r="G24" s="59">
        <f t="shared" ref="G24:G27" si="15">IF(OR(C24="",E24=""),"",C24*E24)</f>
        <v>10662.50278</v>
      </c>
      <c r="H24" s="43">
        <f t="shared" ref="H24:H27" si="16">IF(OR(C24="",F24=""),"",C24*F24)</f>
        <v>6.900769247</v>
      </c>
      <c r="I24" s="41" t="s">
        <v>783</v>
      </c>
      <c r="J24" s="39" t="s">
        <v>818</v>
      </c>
      <c r="K24" s="3"/>
      <c r="L24" s="3"/>
      <c r="M24" s="3"/>
      <c r="N24" s="3"/>
      <c r="O24" s="3"/>
      <c r="P24" s="3"/>
      <c r="Q24" s="3"/>
      <c r="R24" s="3"/>
      <c r="S24" s="3"/>
      <c r="T24" s="3"/>
      <c r="U24" s="3"/>
      <c r="V24" s="3"/>
      <c r="W24" s="3"/>
      <c r="X24" s="3"/>
      <c r="Y24" s="3"/>
      <c r="Z24" s="3"/>
    </row>
    <row r="25" ht="27.75" customHeight="1">
      <c r="A25" s="44" t="s">
        <v>819</v>
      </c>
      <c r="B25" s="44" t="s">
        <v>820</v>
      </c>
      <c r="C25" s="46">
        <f>IF($C$89="","",$C$89/1000*$C$77)</f>
        <v>20</v>
      </c>
      <c r="D25" s="46" t="s">
        <v>821</v>
      </c>
      <c r="E25" s="57">
        <f>IF(OR($C$87="",$C$88=""),"",$C$87/$C$88)</f>
        <v>254.9740122</v>
      </c>
      <c r="F25" s="48">
        <f t="shared" si="14"/>
        <v>0.1650191197</v>
      </c>
      <c r="G25" s="57">
        <f t="shared" si="15"/>
        <v>5099.480243</v>
      </c>
      <c r="H25" s="48">
        <f t="shared" si="16"/>
        <v>3.300382394</v>
      </c>
      <c r="I25" s="46" t="s">
        <v>783</v>
      </c>
      <c r="J25" s="44" t="s">
        <v>822</v>
      </c>
      <c r="K25" s="3"/>
      <c r="L25" s="3"/>
      <c r="M25" s="3"/>
      <c r="N25" s="3"/>
      <c r="O25" s="3"/>
      <c r="P25" s="3"/>
      <c r="Q25" s="3"/>
      <c r="R25" s="3"/>
      <c r="S25" s="3"/>
      <c r="T25" s="3"/>
      <c r="U25" s="3"/>
      <c r="V25" s="3"/>
      <c r="W25" s="3"/>
      <c r="X25" s="3"/>
      <c r="Y25" s="3"/>
      <c r="Z25" s="3"/>
    </row>
    <row r="26" ht="27.75" customHeight="1">
      <c r="A26" s="39" t="s">
        <v>806</v>
      </c>
      <c r="B26" s="39" t="s">
        <v>823</v>
      </c>
      <c r="C26" s="40">
        <f>$C$77</f>
        <v>200</v>
      </c>
      <c r="D26" s="41" t="s">
        <v>782</v>
      </c>
      <c r="E26" s="59">
        <f>IF(OR($C$90="",$C$91=""),"",$C$90/$C$91/$C$80)</f>
        <v>29.86111111</v>
      </c>
      <c r="F26" s="43">
        <f t="shared" si="14"/>
        <v>0.01932610397</v>
      </c>
      <c r="G26" s="59">
        <f t="shared" si="15"/>
        <v>5972.222222</v>
      </c>
      <c r="H26" s="43">
        <f t="shared" si="16"/>
        <v>3.865220794</v>
      </c>
      <c r="I26" s="41" t="s">
        <v>783</v>
      </c>
      <c r="J26" s="39" t="s">
        <v>824</v>
      </c>
      <c r="K26" s="3"/>
      <c r="L26" s="3"/>
      <c r="M26" s="3"/>
      <c r="N26" s="3"/>
      <c r="O26" s="3"/>
      <c r="P26" s="3"/>
      <c r="Q26" s="3"/>
      <c r="R26" s="3"/>
      <c r="S26" s="3"/>
      <c r="T26" s="3"/>
      <c r="U26" s="3"/>
      <c r="V26" s="3"/>
      <c r="W26" s="3"/>
      <c r="X26" s="3"/>
      <c r="Y26" s="3"/>
      <c r="Z26" s="3"/>
    </row>
    <row r="27" ht="40.5" customHeight="1">
      <c r="A27" s="44" t="s">
        <v>819</v>
      </c>
      <c r="B27" s="44" t="s">
        <v>825</v>
      </c>
      <c r="C27" s="64">
        <f>$C$83</f>
        <v>1.1</v>
      </c>
      <c r="D27" s="46" t="s">
        <v>803</v>
      </c>
      <c r="E27" s="47">
        <f>IF(OR($C$92="",$C$93=""),"",$C$92*$C$93)</f>
        <v>126024</v>
      </c>
      <c r="F27" s="48">
        <f t="shared" si="14"/>
        <v>81.56270265</v>
      </c>
      <c r="G27" s="57">
        <f t="shared" si="15"/>
        <v>138626.4</v>
      </c>
      <c r="H27" s="48">
        <f t="shared" si="16"/>
        <v>89.71897292</v>
      </c>
      <c r="I27" s="46" t="s">
        <v>783</v>
      </c>
      <c r="J27" s="44" t="s">
        <v>826</v>
      </c>
      <c r="K27" s="3"/>
      <c r="L27" s="3"/>
      <c r="M27" s="3"/>
      <c r="N27" s="3"/>
      <c r="O27" s="3"/>
      <c r="P27" s="3"/>
      <c r="Q27" s="3"/>
      <c r="R27" s="3"/>
      <c r="S27" s="3"/>
      <c r="T27" s="3"/>
      <c r="U27" s="3"/>
      <c r="V27" s="3"/>
      <c r="W27" s="3"/>
      <c r="X27" s="3"/>
      <c r="Y27" s="3"/>
      <c r="Z27" s="3"/>
    </row>
    <row r="28" ht="15.0" customHeight="1">
      <c r="A28" s="37" t="s">
        <v>827</v>
      </c>
      <c r="B28" s="38"/>
      <c r="C28" s="38"/>
      <c r="D28" s="38"/>
      <c r="E28" s="38"/>
      <c r="F28" s="38"/>
      <c r="G28" s="38"/>
      <c r="H28" s="38"/>
      <c r="I28" s="38"/>
      <c r="J28" s="38"/>
      <c r="K28" s="3"/>
      <c r="L28" s="3"/>
      <c r="M28" s="3"/>
      <c r="N28" s="3"/>
      <c r="O28" s="3"/>
      <c r="P28" s="3"/>
      <c r="Q28" s="3"/>
      <c r="R28" s="3"/>
      <c r="S28" s="3"/>
      <c r="T28" s="3"/>
      <c r="U28" s="3"/>
      <c r="V28" s="3"/>
      <c r="W28" s="3"/>
      <c r="X28" s="3"/>
      <c r="Y28" s="3"/>
      <c r="Z28" s="3"/>
    </row>
    <row r="29" ht="15.0" customHeight="1">
      <c r="A29" s="39" t="s">
        <v>790</v>
      </c>
      <c r="B29" s="39" t="s">
        <v>828</v>
      </c>
      <c r="C29" s="49">
        <v>1.0</v>
      </c>
      <c r="D29" s="41" t="s">
        <v>798</v>
      </c>
      <c r="E29" s="50">
        <v>0.0</v>
      </c>
      <c r="F29" s="51">
        <f t="shared" ref="F29:F31" si="17">IF(E29="","",E29/$C$74)</f>
        <v>0</v>
      </c>
      <c r="G29" s="51">
        <f t="shared" ref="G29:G31" si="18">IF(OR(C29="",E29=""),"",C29*E29)</f>
        <v>0</v>
      </c>
      <c r="H29" s="51">
        <f t="shared" ref="H29:H31" si="19">IF(OR(C29="",F29=""),"",C29*F29)</f>
        <v>0</v>
      </c>
      <c r="I29" s="41" t="s">
        <v>783</v>
      </c>
      <c r="J29" s="39" t="s">
        <v>829</v>
      </c>
      <c r="K29" s="3"/>
      <c r="L29" s="3"/>
      <c r="M29" s="3"/>
      <c r="N29" s="3"/>
      <c r="O29" s="3"/>
      <c r="P29" s="3"/>
      <c r="Q29" s="3"/>
      <c r="R29" s="3"/>
      <c r="S29" s="3"/>
      <c r="T29" s="3"/>
      <c r="U29" s="3"/>
      <c r="V29" s="3"/>
      <c r="W29" s="3"/>
      <c r="X29" s="3"/>
      <c r="Y29" s="3"/>
      <c r="Z29" s="3"/>
    </row>
    <row r="30" ht="15.0" customHeight="1">
      <c r="A30" s="44" t="s">
        <v>790</v>
      </c>
      <c r="B30" s="44" t="s">
        <v>830</v>
      </c>
      <c r="C30" s="52">
        <v>1.0</v>
      </c>
      <c r="D30" s="46" t="s">
        <v>798</v>
      </c>
      <c r="E30" s="53">
        <v>0.0</v>
      </c>
      <c r="F30" s="54">
        <f t="shared" si="17"/>
        <v>0</v>
      </c>
      <c r="G30" s="54">
        <f t="shared" si="18"/>
        <v>0</v>
      </c>
      <c r="H30" s="54">
        <f t="shared" si="19"/>
        <v>0</v>
      </c>
      <c r="I30" s="46" t="s">
        <v>783</v>
      </c>
      <c r="J30" s="44" t="s">
        <v>831</v>
      </c>
      <c r="K30" s="3"/>
      <c r="L30" s="3"/>
      <c r="M30" s="3"/>
      <c r="N30" s="3"/>
      <c r="O30" s="3"/>
      <c r="P30" s="3"/>
      <c r="Q30" s="3"/>
      <c r="R30" s="3"/>
      <c r="S30" s="3"/>
      <c r="T30" s="3"/>
      <c r="U30" s="3"/>
      <c r="V30" s="3"/>
      <c r="W30" s="3"/>
      <c r="X30" s="3"/>
      <c r="Y30" s="3"/>
      <c r="Z30" s="3"/>
    </row>
    <row r="31" ht="15.0" customHeight="1">
      <c r="A31" s="39" t="s">
        <v>790</v>
      </c>
      <c r="B31" s="39" t="s">
        <v>832</v>
      </c>
      <c r="C31" s="49">
        <v>1.0</v>
      </c>
      <c r="D31" s="41" t="s">
        <v>798</v>
      </c>
      <c r="E31" s="50">
        <v>0.0</v>
      </c>
      <c r="F31" s="51">
        <f t="shared" si="17"/>
        <v>0</v>
      </c>
      <c r="G31" s="51">
        <f t="shared" si="18"/>
        <v>0</v>
      </c>
      <c r="H31" s="51">
        <f t="shared" si="19"/>
        <v>0</v>
      </c>
      <c r="I31" s="41" t="s">
        <v>783</v>
      </c>
      <c r="J31" s="39" t="s">
        <v>831</v>
      </c>
      <c r="K31" s="3"/>
      <c r="L31" s="3"/>
      <c r="M31" s="3"/>
      <c r="N31" s="3"/>
      <c r="O31" s="3"/>
      <c r="P31" s="3"/>
      <c r="Q31" s="3"/>
      <c r="R31" s="3"/>
      <c r="S31" s="3"/>
      <c r="T31" s="3"/>
      <c r="U31" s="3"/>
      <c r="V31" s="3"/>
      <c r="W31" s="3"/>
      <c r="X31" s="3"/>
      <c r="Y31" s="3"/>
      <c r="Z31" s="3"/>
    </row>
    <row r="32" ht="15.0" customHeight="1">
      <c r="A32" s="37" t="s">
        <v>833</v>
      </c>
      <c r="B32" s="38"/>
      <c r="C32" s="38"/>
      <c r="D32" s="38"/>
      <c r="E32" s="65"/>
      <c r="F32" s="66"/>
      <c r="G32" s="66"/>
      <c r="H32" s="66"/>
      <c r="I32" s="38"/>
      <c r="J32" s="38"/>
      <c r="K32" s="3"/>
      <c r="L32" s="3"/>
      <c r="M32" s="3"/>
      <c r="N32" s="3"/>
      <c r="O32" s="3"/>
      <c r="P32" s="3"/>
      <c r="Q32" s="3"/>
      <c r="R32" s="3"/>
      <c r="S32" s="3"/>
      <c r="T32" s="3"/>
      <c r="U32" s="3"/>
      <c r="V32" s="3"/>
      <c r="W32" s="3"/>
      <c r="X32" s="3"/>
      <c r="Y32" s="3"/>
      <c r="Z32" s="3"/>
    </row>
    <row r="33" ht="27.75" customHeight="1">
      <c r="A33" s="39" t="s">
        <v>780</v>
      </c>
      <c r="B33" s="39" t="s">
        <v>834</v>
      </c>
      <c r="C33" s="49">
        <v>3.0</v>
      </c>
      <c r="D33" s="41" t="s">
        <v>782</v>
      </c>
      <c r="E33" s="50">
        <v>0.0</v>
      </c>
      <c r="F33" s="51">
        <f>IF(E33="","",E33/$C$74)</f>
        <v>0</v>
      </c>
      <c r="G33" s="51">
        <f>IF(OR(C33="",E33=""),"",C33*E33)</f>
        <v>0</v>
      </c>
      <c r="H33" s="51">
        <f>IF(OR(C33="",F33=""),"",C33*F33)</f>
        <v>0</v>
      </c>
      <c r="I33" s="41" t="s">
        <v>783</v>
      </c>
      <c r="J33" s="39" t="s">
        <v>835</v>
      </c>
      <c r="K33" s="3"/>
      <c r="L33" s="3"/>
      <c r="M33" s="3"/>
      <c r="N33" s="3"/>
      <c r="O33" s="3"/>
      <c r="P33" s="3"/>
      <c r="Q33" s="3"/>
      <c r="R33" s="3"/>
      <c r="S33" s="3"/>
      <c r="T33" s="3"/>
      <c r="U33" s="3"/>
      <c r="V33" s="3"/>
      <c r="W33" s="3"/>
      <c r="X33" s="3"/>
      <c r="Y33" s="3"/>
      <c r="Z33" s="3"/>
    </row>
    <row r="34" ht="15.75" customHeight="1">
      <c r="A34" s="61"/>
      <c r="B34" s="61" t="s">
        <v>836</v>
      </c>
      <c r="C34" s="61"/>
      <c r="D34" s="61"/>
      <c r="E34" s="61"/>
      <c r="F34" s="61"/>
      <c r="G34" s="62">
        <f t="shared" ref="G34:H34" si="20">SUM(G23:G33)</f>
        <v>160360.6052</v>
      </c>
      <c r="H34" s="63">
        <f t="shared" si="20"/>
        <v>103.7853454</v>
      </c>
      <c r="I34" s="61"/>
      <c r="J34" s="61"/>
      <c r="K34" s="3"/>
      <c r="L34" s="3"/>
      <c r="M34" s="3"/>
      <c r="N34" s="3"/>
      <c r="O34" s="3"/>
      <c r="P34" s="3"/>
      <c r="Q34" s="3"/>
      <c r="R34" s="3"/>
      <c r="S34" s="3"/>
      <c r="T34" s="3"/>
      <c r="U34" s="3"/>
      <c r="V34" s="3"/>
      <c r="W34" s="3"/>
      <c r="X34" s="3"/>
      <c r="Y34" s="3"/>
      <c r="Z34" s="3"/>
    </row>
    <row r="35" ht="18.0" customHeight="1">
      <c r="A35" s="36" t="s">
        <v>837</v>
      </c>
      <c r="B35" s="36"/>
      <c r="C35" s="36"/>
      <c r="D35" s="36"/>
      <c r="E35" s="36"/>
      <c r="F35" s="36"/>
      <c r="G35" s="36"/>
      <c r="H35" s="36"/>
      <c r="I35" s="36"/>
      <c r="J35" s="36"/>
      <c r="K35" s="3"/>
      <c r="L35" s="3"/>
      <c r="M35" s="3"/>
      <c r="N35" s="3"/>
      <c r="O35" s="3"/>
      <c r="P35" s="3"/>
      <c r="Q35" s="3"/>
      <c r="R35" s="3"/>
      <c r="S35" s="3"/>
      <c r="T35" s="3"/>
      <c r="U35" s="3"/>
      <c r="V35" s="3"/>
      <c r="W35" s="3"/>
      <c r="X35" s="3"/>
      <c r="Y35" s="3"/>
      <c r="Z35" s="3"/>
    </row>
    <row r="36" ht="52.5" customHeight="1">
      <c r="A36" s="39" t="s">
        <v>819</v>
      </c>
      <c r="B36" s="39" t="s">
        <v>838</v>
      </c>
      <c r="C36" s="49">
        <v>1.0</v>
      </c>
      <c r="D36" s="41" t="s">
        <v>839</v>
      </c>
      <c r="E36" s="42">
        <f>IF(F36="","",F36*$C$75)</f>
        <v>1055415</v>
      </c>
      <c r="F36" s="67">
        <v>710.0</v>
      </c>
      <c r="G36" s="42">
        <f t="shared" ref="G36:G40" si="21">IF(OR(C36="",E36=""),"",C36*E36)</f>
        <v>1055415</v>
      </c>
      <c r="H36" s="51">
        <f t="shared" ref="H36:H40" si="22">IF(OR(C36="",F36=""),"",C36*F36)</f>
        <v>710</v>
      </c>
      <c r="I36" s="41" t="s">
        <v>840</v>
      </c>
      <c r="J36" s="39" t="s">
        <v>841</v>
      </c>
      <c r="K36" s="3"/>
      <c r="L36" s="3"/>
      <c r="M36" s="3"/>
      <c r="N36" s="3"/>
      <c r="O36" s="3"/>
      <c r="P36" s="3"/>
      <c r="Q36" s="3"/>
      <c r="R36" s="3"/>
      <c r="S36" s="3"/>
      <c r="T36" s="3"/>
      <c r="U36" s="3"/>
      <c r="V36" s="3"/>
      <c r="W36" s="3"/>
      <c r="X36" s="3"/>
      <c r="Y36" s="3"/>
      <c r="Z36" s="3"/>
    </row>
    <row r="37" ht="40.5" customHeight="1">
      <c r="A37" s="44" t="s">
        <v>819</v>
      </c>
      <c r="B37" s="44" t="s">
        <v>842</v>
      </c>
      <c r="C37" s="52">
        <v>1.0</v>
      </c>
      <c r="D37" s="46" t="s">
        <v>839</v>
      </c>
      <c r="E37" s="57">
        <f>IF(F37="","",F37*$C$74)</f>
        <v>142150.856</v>
      </c>
      <c r="F37" s="56">
        <v>92.0</v>
      </c>
      <c r="G37" s="57">
        <f t="shared" si="21"/>
        <v>142150.856</v>
      </c>
      <c r="H37" s="54">
        <f t="shared" si="22"/>
        <v>92</v>
      </c>
      <c r="I37" s="46" t="s">
        <v>840</v>
      </c>
      <c r="J37" s="44" t="s">
        <v>843</v>
      </c>
      <c r="K37" s="3"/>
      <c r="L37" s="3"/>
      <c r="M37" s="3"/>
      <c r="N37" s="3"/>
      <c r="O37" s="3"/>
      <c r="P37" s="3"/>
      <c r="Q37" s="3"/>
      <c r="R37" s="3"/>
      <c r="S37" s="3"/>
      <c r="T37" s="3"/>
      <c r="U37" s="3"/>
      <c r="V37" s="3"/>
      <c r="W37" s="3"/>
      <c r="X37" s="3"/>
      <c r="Y37" s="3"/>
      <c r="Z37" s="3"/>
    </row>
    <row r="38" ht="40.5" customHeight="1">
      <c r="A38" s="39" t="s">
        <v>819</v>
      </c>
      <c r="B38" s="39" t="s">
        <v>844</v>
      </c>
      <c r="C38" s="49">
        <v>1.0</v>
      </c>
      <c r="D38" s="41" t="s">
        <v>839</v>
      </c>
      <c r="E38" s="68">
        <v>1226498.9</v>
      </c>
      <c r="F38" s="43">
        <f t="shared" ref="F38:F40" si="23">IF(E38="","",E38/$C$74)</f>
        <v>793.7897947</v>
      </c>
      <c r="G38" s="69">
        <f t="shared" si="21"/>
        <v>1226498.9</v>
      </c>
      <c r="H38" s="43">
        <f t="shared" si="22"/>
        <v>793.7897947</v>
      </c>
      <c r="I38" s="41" t="s">
        <v>840</v>
      </c>
      <c r="J38" s="39" t="s">
        <v>845</v>
      </c>
      <c r="K38" s="3"/>
      <c r="L38" s="3"/>
      <c r="M38" s="3"/>
      <c r="N38" s="3"/>
      <c r="O38" s="3"/>
      <c r="P38" s="3"/>
      <c r="Q38" s="3"/>
      <c r="R38" s="3"/>
      <c r="S38" s="3"/>
      <c r="T38" s="3"/>
      <c r="U38" s="3"/>
      <c r="V38" s="3"/>
      <c r="W38" s="3"/>
      <c r="X38" s="3"/>
      <c r="Y38" s="3"/>
      <c r="Z38" s="3"/>
    </row>
    <row r="39" ht="27.0" customHeight="1">
      <c r="A39" s="44" t="s">
        <v>819</v>
      </c>
      <c r="B39" s="44" t="s">
        <v>846</v>
      </c>
      <c r="C39" s="52">
        <v>1.0</v>
      </c>
      <c r="D39" s="46" t="s">
        <v>839</v>
      </c>
      <c r="E39" s="47">
        <f>IF($C$94="","",$C$94)</f>
        <v>100000</v>
      </c>
      <c r="F39" s="48">
        <f t="shared" si="23"/>
        <v>64.71997608</v>
      </c>
      <c r="G39" s="47">
        <f t="shared" si="21"/>
        <v>100000</v>
      </c>
      <c r="H39" s="48">
        <f t="shared" si="22"/>
        <v>64.71997608</v>
      </c>
      <c r="I39" s="46" t="s">
        <v>840</v>
      </c>
      <c r="J39" s="44" t="s">
        <v>847</v>
      </c>
      <c r="K39" s="3"/>
      <c r="L39" s="3"/>
      <c r="M39" s="3"/>
      <c r="N39" s="3"/>
      <c r="O39" s="3"/>
      <c r="P39" s="3"/>
      <c r="Q39" s="3"/>
      <c r="R39" s="3"/>
      <c r="S39" s="3"/>
      <c r="T39" s="3"/>
      <c r="U39" s="3"/>
      <c r="V39" s="3"/>
      <c r="W39" s="3"/>
      <c r="X39" s="3"/>
      <c r="Y39" s="3"/>
      <c r="Z39" s="3"/>
    </row>
    <row r="40" ht="104.25" customHeight="1">
      <c r="A40" s="39" t="s">
        <v>819</v>
      </c>
      <c r="B40" s="39" t="s">
        <v>848</v>
      </c>
      <c r="C40" s="49">
        <v>1.0</v>
      </c>
      <c r="D40" s="41" t="s">
        <v>839</v>
      </c>
      <c r="E40" s="42">
        <f>IF($C$95="","",$C$95)</f>
        <v>67999</v>
      </c>
      <c r="F40" s="43">
        <f t="shared" si="23"/>
        <v>44.00893653</v>
      </c>
      <c r="G40" s="42">
        <f t="shared" si="21"/>
        <v>67999</v>
      </c>
      <c r="H40" s="43">
        <f t="shared" si="22"/>
        <v>44.00893653</v>
      </c>
      <c r="I40" s="41" t="s">
        <v>840</v>
      </c>
      <c r="J40" s="39" t="s">
        <v>849</v>
      </c>
      <c r="K40" s="3"/>
      <c r="L40" s="3"/>
      <c r="M40" s="3"/>
      <c r="N40" s="3"/>
      <c r="O40" s="3"/>
      <c r="P40" s="3"/>
      <c r="Q40" s="3"/>
      <c r="R40" s="3"/>
      <c r="S40" s="3"/>
      <c r="T40" s="3"/>
      <c r="U40" s="3"/>
      <c r="V40" s="3"/>
      <c r="W40" s="3"/>
      <c r="X40" s="3"/>
      <c r="Y40" s="3"/>
      <c r="Z40" s="3"/>
    </row>
    <row r="41" ht="15.75" customHeight="1">
      <c r="A41" s="61"/>
      <c r="B41" s="61" t="s">
        <v>850</v>
      </c>
      <c r="C41" s="61"/>
      <c r="D41" s="61"/>
      <c r="E41" s="61"/>
      <c r="F41" s="61"/>
      <c r="G41" s="62">
        <f t="shared" ref="G41:H41" si="24">SUM(G36:G40)</f>
        <v>2592063.756</v>
      </c>
      <c r="H41" s="63">
        <f t="shared" si="24"/>
        <v>1704.518707</v>
      </c>
      <c r="I41" s="61"/>
      <c r="J41" s="61"/>
      <c r="K41" s="3"/>
      <c r="L41" s="3"/>
      <c r="M41" s="3"/>
      <c r="N41" s="3"/>
      <c r="O41" s="3"/>
      <c r="P41" s="3"/>
      <c r="Q41" s="3"/>
      <c r="R41" s="3"/>
      <c r="S41" s="3"/>
      <c r="T41" s="3"/>
      <c r="U41" s="3"/>
      <c r="V41" s="3"/>
      <c r="W41" s="3"/>
      <c r="X41" s="3"/>
      <c r="Y41" s="3"/>
      <c r="Z41" s="3"/>
    </row>
    <row r="42" ht="18.0" customHeight="1">
      <c r="A42" s="36" t="s">
        <v>851</v>
      </c>
      <c r="B42" s="36"/>
      <c r="C42" s="36"/>
      <c r="D42" s="36"/>
      <c r="E42" s="36"/>
      <c r="F42" s="36"/>
      <c r="G42" s="36"/>
      <c r="H42" s="36"/>
      <c r="I42" s="36"/>
      <c r="J42" s="36"/>
      <c r="K42" s="3"/>
      <c r="L42" s="3"/>
      <c r="M42" s="3"/>
      <c r="N42" s="3"/>
      <c r="O42" s="3"/>
      <c r="P42" s="3"/>
      <c r="Q42" s="3"/>
      <c r="R42" s="3"/>
      <c r="S42" s="3"/>
      <c r="T42" s="3"/>
      <c r="U42" s="3"/>
      <c r="V42" s="3"/>
      <c r="W42" s="3"/>
      <c r="X42" s="3"/>
      <c r="Y42" s="3"/>
      <c r="Z42" s="3"/>
    </row>
    <row r="43" ht="27.75" customHeight="1">
      <c r="A43" s="39" t="s">
        <v>806</v>
      </c>
      <c r="B43" s="39" t="s">
        <v>852</v>
      </c>
      <c r="C43" s="58">
        <f>$C$84/$C$85</f>
        <v>0.2086956522</v>
      </c>
      <c r="D43" s="41" t="s">
        <v>808</v>
      </c>
      <c r="E43" s="50">
        <v>2269.0</v>
      </c>
      <c r="F43" s="43">
        <f t="shared" ref="F43:F46" si="25">IF(E43="","",E43/$C$74)</f>
        <v>1.468496257</v>
      </c>
      <c r="G43" s="59">
        <f t="shared" ref="G43:G46" si="26">IF(OR(C43="",E43=""),"",C43*E43)</f>
        <v>473.5304348</v>
      </c>
      <c r="H43" s="43">
        <f t="shared" ref="H43:H46" si="27">IF(OR(C43="",F43=""),"",C43*F43)</f>
        <v>0.3064687841</v>
      </c>
      <c r="I43" s="41" t="s">
        <v>783</v>
      </c>
      <c r="J43" s="39" t="s">
        <v>853</v>
      </c>
      <c r="K43" s="3"/>
      <c r="L43" s="3"/>
      <c r="M43" s="3"/>
      <c r="N43" s="3"/>
      <c r="O43" s="3"/>
      <c r="P43" s="3"/>
      <c r="Q43" s="3"/>
      <c r="R43" s="3"/>
      <c r="S43" s="3"/>
      <c r="T43" s="3"/>
      <c r="U43" s="3"/>
      <c r="V43" s="3"/>
      <c r="W43" s="3"/>
      <c r="X43" s="3"/>
      <c r="Y43" s="3"/>
      <c r="Z43" s="3"/>
    </row>
    <row r="44" ht="27.75" customHeight="1">
      <c r="A44" s="44" t="s">
        <v>790</v>
      </c>
      <c r="B44" s="44" t="s">
        <v>854</v>
      </c>
      <c r="C44" s="52">
        <v>0.0</v>
      </c>
      <c r="D44" s="46" t="s">
        <v>855</v>
      </c>
      <c r="E44" s="53">
        <v>0.0</v>
      </c>
      <c r="F44" s="47">
        <f t="shared" si="25"/>
        <v>0</v>
      </c>
      <c r="G44" s="47">
        <f t="shared" si="26"/>
        <v>0</v>
      </c>
      <c r="H44" s="47">
        <f t="shared" si="27"/>
        <v>0</v>
      </c>
      <c r="I44" s="46" t="s">
        <v>783</v>
      </c>
      <c r="J44" s="44" t="s">
        <v>856</v>
      </c>
      <c r="K44" s="3"/>
      <c r="L44" s="3"/>
      <c r="M44" s="3"/>
      <c r="N44" s="3"/>
      <c r="O44" s="3"/>
      <c r="P44" s="3"/>
      <c r="Q44" s="3"/>
      <c r="R44" s="3"/>
      <c r="S44" s="3"/>
      <c r="T44" s="3"/>
      <c r="U44" s="3"/>
      <c r="V44" s="3"/>
      <c r="W44" s="3"/>
      <c r="X44" s="3"/>
      <c r="Y44" s="3"/>
      <c r="Z44" s="3"/>
    </row>
    <row r="45" ht="15.0" customHeight="1">
      <c r="A45" s="39" t="s">
        <v>790</v>
      </c>
      <c r="B45" s="39" t="s">
        <v>857</v>
      </c>
      <c r="C45" s="49">
        <v>0.0</v>
      </c>
      <c r="D45" s="41" t="s">
        <v>792</v>
      </c>
      <c r="E45" s="50">
        <v>0.0</v>
      </c>
      <c r="F45" s="42">
        <f t="shared" si="25"/>
        <v>0</v>
      </c>
      <c r="G45" s="42">
        <f t="shared" si="26"/>
        <v>0</v>
      </c>
      <c r="H45" s="42">
        <f t="shared" si="27"/>
        <v>0</v>
      </c>
      <c r="I45" s="41" t="s">
        <v>783</v>
      </c>
      <c r="J45" s="39" t="s">
        <v>858</v>
      </c>
      <c r="K45" s="3"/>
      <c r="L45" s="3"/>
      <c r="M45" s="3"/>
      <c r="N45" s="3"/>
      <c r="O45" s="3"/>
      <c r="P45" s="3"/>
      <c r="Q45" s="3"/>
      <c r="R45" s="3"/>
      <c r="S45" s="3"/>
      <c r="T45" s="3"/>
      <c r="U45" s="3"/>
      <c r="V45" s="3"/>
      <c r="W45" s="3"/>
      <c r="X45" s="3"/>
      <c r="Y45" s="3"/>
      <c r="Z45" s="3"/>
    </row>
    <row r="46" ht="15.0" customHeight="1">
      <c r="A46" s="44" t="s">
        <v>806</v>
      </c>
      <c r="B46" s="44" t="s">
        <v>859</v>
      </c>
      <c r="C46" s="52">
        <v>0.0</v>
      </c>
      <c r="D46" s="46" t="s">
        <v>860</v>
      </c>
      <c r="E46" s="53">
        <v>0.0</v>
      </c>
      <c r="F46" s="47">
        <f t="shared" si="25"/>
        <v>0</v>
      </c>
      <c r="G46" s="47">
        <f t="shared" si="26"/>
        <v>0</v>
      </c>
      <c r="H46" s="47">
        <f t="shared" si="27"/>
        <v>0</v>
      </c>
      <c r="I46" s="46" t="s">
        <v>783</v>
      </c>
      <c r="J46" s="44" t="s">
        <v>861</v>
      </c>
      <c r="K46" s="3"/>
      <c r="L46" s="3"/>
      <c r="M46" s="3"/>
      <c r="N46" s="3"/>
      <c r="O46" s="3"/>
      <c r="P46" s="3"/>
      <c r="Q46" s="3"/>
      <c r="R46" s="3"/>
      <c r="S46" s="3"/>
      <c r="T46" s="3"/>
      <c r="U46" s="3"/>
      <c r="V46" s="3"/>
      <c r="W46" s="3"/>
      <c r="X46" s="3"/>
      <c r="Y46" s="3"/>
      <c r="Z46" s="3"/>
    </row>
    <row r="47" ht="15.75" customHeight="1">
      <c r="A47" s="61"/>
      <c r="B47" s="61" t="s">
        <v>862</v>
      </c>
      <c r="C47" s="61"/>
      <c r="D47" s="61"/>
      <c r="E47" s="61"/>
      <c r="F47" s="61"/>
      <c r="G47" s="62">
        <f t="shared" ref="G47:H47" si="28">SUM(G43:G46)</f>
        <v>473.5304348</v>
      </c>
      <c r="H47" s="63">
        <f t="shared" si="28"/>
        <v>0.3064687841</v>
      </c>
      <c r="I47" s="61"/>
      <c r="J47" s="61"/>
      <c r="K47" s="3"/>
      <c r="L47" s="3"/>
      <c r="M47" s="3"/>
      <c r="N47" s="3"/>
      <c r="O47" s="3"/>
      <c r="P47" s="3"/>
      <c r="Q47" s="3"/>
      <c r="R47" s="3"/>
      <c r="S47" s="3"/>
      <c r="T47" s="3"/>
      <c r="U47" s="3"/>
      <c r="V47" s="3"/>
      <c r="W47" s="3"/>
      <c r="X47" s="3"/>
      <c r="Y47" s="3"/>
      <c r="Z47" s="3"/>
    </row>
    <row r="48" ht="18.0" customHeight="1">
      <c r="A48" s="36" t="s">
        <v>863</v>
      </c>
      <c r="B48" s="36"/>
      <c r="C48" s="36"/>
      <c r="D48" s="36"/>
      <c r="E48" s="36"/>
      <c r="F48" s="36"/>
      <c r="G48" s="36"/>
      <c r="H48" s="36"/>
      <c r="I48" s="36"/>
      <c r="J48" s="36"/>
      <c r="K48" s="3"/>
      <c r="L48" s="3"/>
      <c r="M48" s="3"/>
      <c r="N48" s="3"/>
      <c r="O48" s="3"/>
      <c r="P48" s="3"/>
      <c r="Q48" s="3"/>
      <c r="R48" s="3"/>
      <c r="S48" s="3"/>
      <c r="T48" s="3"/>
      <c r="U48" s="3"/>
      <c r="V48" s="3"/>
      <c r="W48" s="3"/>
      <c r="X48" s="3"/>
      <c r="Y48" s="3"/>
      <c r="Z48" s="3"/>
    </row>
    <row r="49" ht="15.0" customHeight="1">
      <c r="A49" s="37" t="s">
        <v>864</v>
      </c>
      <c r="B49" s="38"/>
      <c r="C49" s="38"/>
      <c r="D49" s="38"/>
      <c r="E49" s="38"/>
      <c r="F49" s="38"/>
      <c r="G49" s="38"/>
      <c r="H49" s="38"/>
      <c r="I49" s="38"/>
      <c r="J49" s="38"/>
      <c r="K49" s="3"/>
      <c r="L49" s="3"/>
      <c r="M49" s="3"/>
      <c r="N49" s="3"/>
      <c r="O49" s="3"/>
      <c r="P49" s="3"/>
      <c r="Q49" s="3"/>
      <c r="R49" s="3"/>
      <c r="S49" s="3"/>
      <c r="T49" s="3"/>
      <c r="U49" s="3"/>
      <c r="V49" s="3"/>
      <c r="W49" s="3"/>
      <c r="X49" s="3"/>
      <c r="Y49" s="3"/>
      <c r="Z49" s="3"/>
    </row>
    <row r="50" ht="40.5" customHeight="1">
      <c r="A50" s="39" t="s">
        <v>780</v>
      </c>
      <c r="B50" s="39" t="s">
        <v>865</v>
      </c>
      <c r="C50" s="41">
        <f>$C$96*$C$97</f>
        <v>48</v>
      </c>
      <c r="D50" s="41" t="s">
        <v>782</v>
      </c>
      <c r="E50" s="42">
        <f>$C$76</f>
        <v>21600</v>
      </c>
      <c r="F50" s="43">
        <f>IF(E50="","",E50/$C$74)</f>
        <v>13.97951483</v>
      </c>
      <c r="G50" s="42">
        <f>IF(OR(C50="",E50=""),"",C50*E50)</f>
        <v>1036800</v>
      </c>
      <c r="H50" s="43">
        <f>IF(OR(C50="",F50=""),"",C50*F50)</f>
        <v>671.016712</v>
      </c>
      <c r="I50" s="41" t="s">
        <v>783</v>
      </c>
      <c r="J50" s="39" t="s">
        <v>866</v>
      </c>
      <c r="K50" s="3"/>
      <c r="L50" s="3"/>
      <c r="M50" s="3"/>
      <c r="N50" s="3"/>
      <c r="O50" s="3"/>
      <c r="P50" s="3"/>
      <c r="Q50" s="3"/>
      <c r="R50" s="3"/>
      <c r="S50" s="3"/>
      <c r="T50" s="3"/>
      <c r="U50" s="3"/>
      <c r="V50" s="3"/>
      <c r="W50" s="3"/>
      <c r="X50" s="3"/>
      <c r="Y50" s="3"/>
      <c r="Z50" s="3"/>
    </row>
    <row r="51" ht="15.0" customHeight="1">
      <c r="A51" s="37" t="s">
        <v>867</v>
      </c>
      <c r="B51" s="38"/>
      <c r="C51" s="38"/>
      <c r="D51" s="38"/>
      <c r="E51" s="38"/>
      <c r="F51" s="38"/>
      <c r="G51" s="38"/>
      <c r="H51" s="38"/>
      <c r="I51" s="38"/>
      <c r="J51" s="38"/>
      <c r="K51" s="3"/>
      <c r="L51" s="3"/>
      <c r="M51" s="3"/>
      <c r="N51" s="3"/>
      <c r="O51" s="3"/>
      <c r="P51" s="3"/>
      <c r="Q51" s="3"/>
      <c r="R51" s="3"/>
      <c r="S51" s="3"/>
      <c r="T51" s="3"/>
      <c r="U51" s="3"/>
      <c r="V51" s="3"/>
      <c r="W51" s="3"/>
      <c r="X51" s="3"/>
      <c r="Y51" s="3"/>
      <c r="Z51" s="3"/>
    </row>
    <row r="52" ht="27.75" customHeight="1">
      <c r="A52" s="39" t="s">
        <v>790</v>
      </c>
      <c r="B52" s="39" t="s">
        <v>868</v>
      </c>
      <c r="C52" s="40">
        <f t="shared" ref="C52:C58" si="29">$C$96</f>
        <v>12</v>
      </c>
      <c r="D52" s="41" t="s">
        <v>803</v>
      </c>
      <c r="E52" s="50">
        <v>0.0</v>
      </c>
      <c r="F52" s="42">
        <f t="shared" ref="F52:F58" si="30">IF(E52="","",E52/$C$74)</f>
        <v>0</v>
      </c>
      <c r="G52" s="42">
        <f t="shared" ref="G52:G58" si="31">IF(OR(C52="",E52=""),"",C52*E52)</f>
        <v>0</v>
      </c>
      <c r="H52" s="42">
        <f t="shared" ref="H52:H58" si="32">IF(OR(C52="",F52=""),"",C52*F52)</f>
        <v>0</v>
      </c>
      <c r="I52" s="41" t="s">
        <v>783</v>
      </c>
      <c r="J52" s="39" t="s">
        <v>869</v>
      </c>
      <c r="K52" s="3"/>
      <c r="L52" s="3"/>
      <c r="M52" s="3"/>
      <c r="N52" s="3"/>
      <c r="O52" s="3"/>
      <c r="P52" s="3"/>
      <c r="Q52" s="3"/>
      <c r="R52" s="3"/>
      <c r="S52" s="3"/>
      <c r="T52" s="3"/>
      <c r="U52" s="3"/>
      <c r="V52" s="3"/>
      <c r="W52" s="3"/>
      <c r="X52" s="3"/>
      <c r="Y52" s="3"/>
      <c r="Z52" s="3"/>
    </row>
    <row r="53" ht="27.75" customHeight="1">
      <c r="A53" s="44" t="s">
        <v>790</v>
      </c>
      <c r="B53" s="44" t="s">
        <v>870</v>
      </c>
      <c r="C53" s="45">
        <f t="shared" si="29"/>
        <v>12</v>
      </c>
      <c r="D53" s="46" t="s">
        <v>803</v>
      </c>
      <c r="E53" s="53">
        <v>0.0</v>
      </c>
      <c r="F53" s="47">
        <f t="shared" si="30"/>
        <v>0</v>
      </c>
      <c r="G53" s="47">
        <f t="shared" si="31"/>
        <v>0</v>
      </c>
      <c r="H53" s="47">
        <f t="shared" si="32"/>
        <v>0</v>
      </c>
      <c r="I53" s="46" t="s">
        <v>783</v>
      </c>
      <c r="J53" s="44" t="s">
        <v>871</v>
      </c>
      <c r="K53" s="3"/>
      <c r="L53" s="3"/>
      <c r="M53" s="3"/>
      <c r="N53" s="3"/>
      <c r="O53" s="3"/>
      <c r="P53" s="3"/>
      <c r="Q53" s="3"/>
      <c r="R53" s="3"/>
      <c r="S53" s="3"/>
      <c r="T53" s="3"/>
      <c r="U53" s="3"/>
      <c r="V53" s="3"/>
      <c r="W53" s="3"/>
      <c r="X53" s="3"/>
      <c r="Y53" s="3"/>
      <c r="Z53" s="3"/>
    </row>
    <row r="54" ht="15.0" customHeight="1">
      <c r="A54" s="39" t="s">
        <v>790</v>
      </c>
      <c r="B54" s="39" t="s">
        <v>872</v>
      </c>
      <c r="C54" s="40">
        <f t="shared" si="29"/>
        <v>12</v>
      </c>
      <c r="D54" s="41" t="s">
        <v>803</v>
      </c>
      <c r="E54" s="50">
        <v>0.0</v>
      </c>
      <c r="F54" s="42">
        <f t="shared" si="30"/>
        <v>0</v>
      </c>
      <c r="G54" s="42">
        <f t="shared" si="31"/>
        <v>0</v>
      </c>
      <c r="H54" s="42">
        <f t="shared" si="32"/>
        <v>0</v>
      </c>
      <c r="I54" s="41" t="s">
        <v>783</v>
      </c>
      <c r="J54" s="39" t="s">
        <v>873</v>
      </c>
      <c r="K54" s="3"/>
      <c r="L54" s="3"/>
      <c r="M54" s="3"/>
      <c r="N54" s="3"/>
      <c r="O54" s="3"/>
      <c r="P54" s="3"/>
      <c r="Q54" s="3"/>
      <c r="R54" s="3"/>
      <c r="S54" s="3"/>
      <c r="T54" s="3"/>
      <c r="U54" s="3"/>
      <c r="V54" s="3"/>
      <c r="W54" s="3"/>
      <c r="X54" s="3"/>
      <c r="Y54" s="3"/>
      <c r="Z54" s="3"/>
    </row>
    <row r="55" ht="27.75" customHeight="1">
      <c r="A55" s="44" t="s">
        <v>790</v>
      </c>
      <c r="B55" s="44" t="s">
        <v>874</v>
      </c>
      <c r="C55" s="45">
        <f t="shared" si="29"/>
        <v>12</v>
      </c>
      <c r="D55" s="46" t="s">
        <v>803</v>
      </c>
      <c r="E55" s="53">
        <v>0.0</v>
      </c>
      <c r="F55" s="47">
        <f t="shared" si="30"/>
        <v>0</v>
      </c>
      <c r="G55" s="47">
        <f t="shared" si="31"/>
        <v>0</v>
      </c>
      <c r="H55" s="47">
        <f t="shared" si="32"/>
        <v>0</v>
      </c>
      <c r="I55" s="46" t="s">
        <v>783</v>
      </c>
      <c r="J55" s="44" t="s">
        <v>875</v>
      </c>
      <c r="K55" s="3"/>
      <c r="L55" s="3"/>
      <c r="M55" s="3"/>
      <c r="N55" s="3"/>
      <c r="O55" s="3"/>
      <c r="P55" s="3"/>
      <c r="Q55" s="3"/>
      <c r="R55" s="3"/>
      <c r="S55" s="3"/>
      <c r="T55" s="3"/>
      <c r="U55" s="3"/>
      <c r="V55" s="3"/>
      <c r="W55" s="3"/>
      <c r="X55" s="3"/>
      <c r="Y55" s="3"/>
      <c r="Z55" s="3"/>
    </row>
    <row r="56" ht="27.75" customHeight="1">
      <c r="A56" s="39" t="s">
        <v>790</v>
      </c>
      <c r="B56" s="39" t="s">
        <v>876</v>
      </c>
      <c r="C56" s="40">
        <f t="shared" si="29"/>
        <v>12</v>
      </c>
      <c r="D56" s="41" t="s">
        <v>803</v>
      </c>
      <c r="E56" s="50">
        <v>0.0</v>
      </c>
      <c r="F56" s="42">
        <f t="shared" si="30"/>
        <v>0</v>
      </c>
      <c r="G56" s="42">
        <f t="shared" si="31"/>
        <v>0</v>
      </c>
      <c r="H56" s="42">
        <f t="shared" si="32"/>
        <v>0</v>
      </c>
      <c r="I56" s="41" t="s">
        <v>783</v>
      </c>
      <c r="J56" s="39" t="s">
        <v>877</v>
      </c>
      <c r="K56" s="3"/>
      <c r="L56" s="3"/>
      <c r="M56" s="3"/>
      <c r="N56" s="3"/>
      <c r="O56" s="3"/>
      <c r="P56" s="3"/>
      <c r="Q56" s="3"/>
      <c r="R56" s="3"/>
      <c r="S56" s="3"/>
      <c r="T56" s="3"/>
      <c r="U56" s="3"/>
      <c r="V56" s="3"/>
      <c r="W56" s="3"/>
      <c r="X56" s="3"/>
      <c r="Y56" s="3"/>
      <c r="Z56" s="3"/>
    </row>
    <row r="57" ht="15.0" customHeight="1">
      <c r="A57" s="44" t="s">
        <v>790</v>
      </c>
      <c r="B57" s="44" t="s">
        <v>878</v>
      </c>
      <c r="C57" s="45">
        <f t="shared" si="29"/>
        <v>12</v>
      </c>
      <c r="D57" s="46" t="s">
        <v>803</v>
      </c>
      <c r="E57" s="53">
        <v>0.0</v>
      </c>
      <c r="F57" s="47">
        <f t="shared" si="30"/>
        <v>0</v>
      </c>
      <c r="G57" s="47">
        <f t="shared" si="31"/>
        <v>0</v>
      </c>
      <c r="H57" s="47">
        <f t="shared" si="32"/>
        <v>0</v>
      </c>
      <c r="I57" s="46" t="s">
        <v>783</v>
      </c>
      <c r="J57" s="44" t="s">
        <v>879</v>
      </c>
      <c r="K57" s="3"/>
      <c r="L57" s="3"/>
      <c r="M57" s="3"/>
      <c r="N57" s="3"/>
      <c r="O57" s="3"/>
      <c r="P57" s="3"/>
      <c r="Q57" s="3"/>
      <c r="R57" s="3"/>
      <c r="S57" s="3"/>
      <c r="T57" s="3"/>
      <c r="U57" s="3"/>
      <c r="V57" s="3"/>
      <c r="W57" s="3"/>
      <c r="X57" s="3"/>
      <c r="Y57" s="3"/>
      <c r="Z57" s="3"/>
    </row>
    <row r="58" ht="40.5" customHeight="1">
      <c r="A58" s="39" t="s">
        <v>806</v>
      </c>
      <c r="B58" s="39" t="s">
        <v>880</v>
      </c>
      <c r="C58" s="40">
        <f t="shared" si="29"/>
        <v>12</v>
      </c>
      <c r="D58" s="41" t="s">
        <v>803</v>
      </c>
      <c r="E58" s="50">
        <v>0.0</v>
      </c>
      <c r="F58" s="42">
        <f t="shared" si="30"/>
        <v>0</v>
      </c>
      <c r="G58" s="42">
        <f t="shared" si="31"/>
        <v>0</v>
      </c>
      <c r="H58" s="42">
        <f t="shared" si="32"/>
        <v>0</v>
      </c>
      <c r="I58" s="41" t="s">
        <v>783</v>
      </c>
      <c r="J58" s="39" t="s">
        <v>881</v>
      </c>
      <c r="K58" s="3"/>
      <c r="L58" s="3"/>
      <c r="M58" s="3"/>
      <c r="N58" s="3"/>
      <c r="O58" s="3"/>
      <c r="P58" s="3"/>
      <c r="Q58" s="3"/>
      <c r="R58" s="3"/>
      <c r="S58" s="3"/>
      <c r="T58" s="3"/>
      <c r="U58" s="3"/>
      <c r="V58" s="3"/>
      <c r="W58" s="3"/>
      <c r="X58" s="3"/>
      <c r="Y58" s="3"/>
      <c r="Z58" s="3"/>
    </row>
    <row r="59" ht="15.0" customHeight="1">
      <c r="A59" s="37" t="s">
        <v>882</v>
      </c>
      <c r="B59" s="38"/>
      <c r="C59" s="38"/>
      <c r="D59" s="38"/>
      <c r="E59" s="65"/>
      <c r="F59" s="65"/>
      <c r="G59" s="65"/>
      <c r="H59" s="65"/>
      <c r="I59" s="38"/>
      <c r="J59" s="38"/>
      <c r="K59" s="3"/>
      <c r="L59" s="3"/>
      <c r="M59" s="3"/>
      <c r="N59" s="3"/>
      <c r="O59" s="3"/>
      <c r="P59" s="3"/>
      <c r="Q59" s="3"/>
      <c r="R59" s="3"/>
      <c r="S59" s="3"/>
      <c r="T59" s="3"/>
      <c r="U59" s="3"/>
      <c r="V59" s="3"/>
      <c r="W59" s="3"/>
      <c r="X59" s="3"/>
      <c r="Y59" s="3"/>
      <c r="Z59" s="3"/>
    </row>
    <row r="60" ht="27.75" customHeight="1">
      <c r="A60" s="39" t="s">
        <v>790</v>
      </c>
      <c r="B60" s="39" t="s">
        <v>883</v>
      </c>
      <c r="C60" s="40">
        <f t="shared" ref="C60:C61" si="33">$C$96</f>
        <v>12</v>
      </c>
      <c r="D60" s="41" t="s">
        <v>803</v>
      </c>
      <c r="E60" s="50">
        <v>0.0</v>
      </c>
      <c r="F60" s="42">
        <f t="shared" ref="F60:F61" si="34">IF(E60="","",E60/$C$74)</f>
        <v>0</v>
      </c>
      <c r="G60" s="42">
        <f t="shared" ref="G60:G61" si="35">IF(OR(C60="",E60=""),"",C60*E60)</f>
        <v>0</v>
      </c>
      <c r="H60" s="42">
        <f t="shared" ref="H60:H61" si="36">IF(OR(C60="",F60=""),"",C60*F60)</f>
        <v>0</v>
      </c>
      <c r="I60" s="41" t="s">
        <v>783</v>
      </c>
      <c r="J60" s="39" t="s">
        <v>884</v>
      </c>
      <c r="K60" s="3"/>
      <c r="L60" s="3"/>
      <c r="M60" s="3"/>
      <c r="N60" s="3"/>
      <c r="O60" s="3"/>
      <c r="P60" s="3"/>
      <c r="Q60" s="3"/>
      <c r="R60" s="3"/>
      <c r="S60" s="3"/>
      <c r="T60" s="3"/>
      <c r="U60" s="3"/>
      <c r="V60" s="3"/>
      <c r="W60" s="3"/>
      <c r="X60" s="3"/>
      <c r="Y60" s="3"/>
      <c r="Z60" s="3"/>
    </row>
    <row r="61" ht="27.75" customHeight="1">
      <c r="A61" s="44" t="s">
        <v>790</v>
      </c>
      <c r="B61" s="44" t="s">
        <v>885</v>
      </c>
      <c r="C61" s="45">
        <f t="shared" si="33"/>
        <v>12</v>
      </c>
      <c r="D61" s="46" t="s">
        <v>803</v>
      </c>
      <c r="E61" s="53">
        <v>0.0</v>
      </c>
      <c r="F61" s="47">
        <f t="shared" si="34"/>
        <v>0</v>
      </c>
      <c r="G61" s="47">
        <f t="shared" si="35"/>
        <v>0</v>
      </c>
      <c r="H61" s="47">
        <f t="shared" si="36"/>
        <v>0</v>
      </c>
      <c r="I61" s="46" t="s">
        <v>783</v>
      </c>
      <c r="J61" s="44" t="s">
        <v>886</v>
      </c>
      <c r="K61" s="3"/>
      <c r="L61" s="3"/>
      <c r="M61" s="3"/>
      <c r="N61" s="3"/>
      <c r="O61" s="3"/>
      <c r="P61" s="3"/>
      <c r="Q61" s="3"/>
      <c r="R61" s="3"/>
      <c r="S61" s="3"/>
      <c r="T61" s="3"/>
      <c r="U61" s="3"/>
      <c r="V61" s="3"/>
      <c r="W61" s="3"/>
      <c r="X61" s="3"/>
      <c r="Y61" s="3"/>
      <c r="Z61" s="3"/>
    </row>
    <row r="62" ht="15.75" customHeight="1">
      <c r="A62" s="61"/>
      <c r="B62" s="61" t="s">
        <v>887</v>
      </c>
      <c r="C62" s="61"/>
      <c r="D62" s="61"/>
      <c r="E62" s="61"/>
      <c r="F62" s="61"/>
      <c r="G62" s="70">
        <f t="shared" ref="G62:H62" si="37">SUM(G49:G61)</f>
        <v>1036800</v>
      </c>
      <c r="H62" s="63">
        <f t="shared" si="37"/>
        <v>671.016712</v>
      </c>
      <c r="I62" s="61"/>
      <c r="J62" s="61"/>
      <c r="K62" s="3"/>
      <c r="L62" s="3"/>
      <c r="M62" s="3"/>
      <c r="N62" s="3"/>
      <c r="O62" s="3"/>
      <c r="P62" s="3"/>
      <c r="Q62" s="3"/>
      <c r="R62" s="3"/>
      <c r="S62" s="3"/>
      <c r="T62" s="3"/>
      <c r="U62" s="3"/>
      <c r="V62" s="3"/>
      <c r="W62" s="3"/>
      <c r="X62" s="3"/>
      <c r="Y62" s="3"/>
      <c r="Z62" s="3"/>
    </row>
    <row r="63" ht="18.0" customHeight="1">
      <c r="A63" s="36" t="s">
        <v>888</v>
      </c>
      <c r="B63" s="36"/>
      <c r="C63" s="36"/>
      <c r="D63" s="36"/>
      <c r="E63" s="36"/>
      <c r="F63" s="36"/>
      <c r="G63" s="36"/>
      <c r="H63" s="36"/>
      <c r="I63" s="36"/>
      <c r="J63" s="36"/>
      <c r="K63" s="3"/>
      <c r="L63" s="3"/>
      <c r="M63" s="3"/>
      <c r="N63" s="3"/>
      <c r="O63" s="3"/>
      <c r="P63" s="3"/>
      <c r="Q63" s="3"/>
      <c r="R63" s="3"/>
      <c r="S63" s="3"/>
      <c r="T63" s="3"/>
      <c r="U63" s="3"/>
      <c r="V63" s="3"/>
      <c r="W63" s="3"/>
      <c r="X63" s="3"/>
      <c r="Y63" s="3"/>
      <c r="Z63" s="3"/>
    </row>
    <row r="64" ht="37.5" customHeight="1">
      <c r="A64" s="39" t="s">
        <v>806</v>
      </c>
      <c r="B64" s="39" t="s">
        <v>889</v>
      </c>
      <c r="C64" s="71">
        <f>$C$98</f>
        <v>0.15</v>
      </c>
      <c r="D64" s="41" t="s">
        <v>890</v>
      </c>
      <c r="E64" s="59">
        <f>G21+G34+G41+G47+G62</f>
        <v>8176483.264</v>
      </c>
      <c r="F64" s="43">
        <f>E64/$C$74</f>
        <v>5291.818013</v>
      </c>
      <c r="G64" s="59">
        <f>IF(OR(C64="",E64=""),"",C64*E64)</f>
        <v>1226472.49</v>
      </c>
      <c r="H64" s="43">
        <f>IF(OR(C64="",F64=""),"",C64*F64)</f>
        <v>793.7727019</v>
      </c>
      <c r="I64" s="41"/>
      <c r="J64" s="39" t="s">
        <v>891</v>
      </c>
      <c r="K64" s="3"/>
      <c r="L64" s="3"/>
      <c r="M64" s="3"/>
      <c r="N64" s="3"/>
      <c r="O64" s="3"/>
      <c r="P64" s="3"/>
      <c r="Q64" s="3"/>
      <c r="R64" s="3"/>
      <c r="S64" s="3"/>
      <c r="T64" s="3"/>
      <c r="U64" s="3"/>
      <c r="V64" s="3"/>
      <c r="W64" s="3"/>
      <c r="X64" s="3"/>
      <c r="Y64" s="3"/>
      <c r="Z64" s="3"/>
    </row>
    <row r="65" ht="15.75" customHeight="1">
      <c r="A65" s="61"/>
      <c r="B65" s="61" t="s">
        <v>892</v>
      </c>
      <c r="C65" s="61"/>
      <c r="D65" s="61"/>
      <c r="E65" s="61"/>
      <c r="F65" s="61"/>
      <c r="G65" s="62">
        <f t="shared" ref="G65:H65" si="38">SUM(G64)</f>
        <v>1226472.49</v>
      </c>
      <c r="H65" s="63">
        <f t="shared" si="38"/>
        <v>793.7727019</v>
      </c>
      <c r="I65" s="61"/>
      <c r="J65" s="61"/>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72"/>
      <c r="B67" s="72" t="s">
        <v>893</v>
      </c>
      <c r="C67" s="72"/>
      <c r="D67" s="72"/>
      <c r="E67" s="72"/>
      <c r="F67" s="72"/>
      <c r="G67" s="73">
        <f t="shared" ref="G67:H67" si="39">G21+G34+G41+G47+G62+G65</f>
        <v>9402955.753</v>
      </c>
      <c r="H67" s="74">
        <f t="shared" si="39"/>
        <v>6110.193741</v>
      </c>
      <c r="I67" s="72"/>
      <c r="J67" s="75" t="s">
        <v>894</v>
      </c>
      <c r="K67" s="3"/>
      <c r="L67" s="3"/>
      <c r="M67" s="3"/>
      <c r="N67" s="3"/>
      <c r="O67" s="3"/>
      <c r="P67" s="3"/>
      <c r="Q67" s="3"/>
      <c r="R67" s="3"/>
      <c r="S67" s="3"/>
      <c r="T67" s="3"/>
      <c r="U67" s="3"/>
      <c r="V67" s="3"/>
      <c r="W67" s="3"/>
      <c r="X67" s="3"/>
      <c r="Y67" s="3"/>
      <c r="Z67" s="3"/>
    </row>
    <row r="68" ht="15.75" customHeight="1">
      <c r="A68" s="72"/>
      <c r="B68" s="72" t="s">
        <v>895</v>
      </c>
      <c r="C68" s="72"/>
      <c r="D68" s="72"/>
      <c r="E68" s="72"/>
      <c r="F68" s="72"/>
      <c r="G68" s="73">
        <f>SUMIF($I$5:$I$65,"CAPEX",$G$5:$G$65)</f>
        <v>2592063.756</v>
      </c>
      <c r="H68" s="74">
        <f>SUMIF($I$5:$I$65,"CAPEX",$H$5:$H$65)</f>
        <v>1704.518707</v>
      </c>
      <c r="I68" s="72"/>
      <c r="J68" s="72"/>
      <c r="K68" s="3"/>
      <c r="L68" s="3"/>
      <c r="M68" s="3"/>
      <c r="N68" s="3"/>
      <c r="O68" s="3"/>
      <c r="P68" s="3"/>
      <c r="Q68" s="3"/>
      <c r="R68" s="3"/>
      <c r="S68" s="3"/>
      <c r="T68" s="3"/>
      <c r="U68" s="3"/>
      <c r="V68" s="3"/>
      <c r="W68" s="3"/>
      <c r="X68" s="3"/>
      <c r="Y68" s="3"/>
      <c r="Z68" s="3"/>
    </row>
    <row r="69" ht="15.75" customHeight="1">
      <c r="A69" s="72"/>
      <c r="B69" s="72" t="s">
        <v>896</v>
      </c>
      <c r="C69" s="72"/>
      <c r="D69" s="72"/>
      <c r="E69" s="72"/>
      <c r="F69" s="72"/>
      <c r="G69" s="73">
        <f>SUMIF($I$5:$I$65,"OPEX",$G$5:$G$65)</f>
        <v>5584419.508</v>
      </c>
      <c r="H69" s="74">
        <f>SUMIF($I$5:$I$65,"OPEX",$H$5:$H$65)</f>
        <v>3611.902332</v>
      </c>
      <c r="I69" s="72"/>
      <c r="J69" s="72"/>
      <c r="K69" s="3"/>
      <c r="L69" s="3"/>
      <c r="M69" s="3"/>
      <c r="N69" s="3"/>
      <c r="O69" s="3"/>
      <c r="P69" s="3"/>
      <c r="Q69" s="3"/>
      <c r="R69" s="3"/>
      <c r="S69" s="3"/>
      <c r="T69" s="3"/>
      <c r="U69" s="3"/>
      <c r="V69" s="3"/>
      <c r="W69" s="3"/>
      <c r="X69" s="3"/>
      <c r="Y69" s="3"/>
      <c r="Z69" s="3"/>
    </row>
    <row r="70" ht="15.75" customHeight="1">
      <c r="A70" s="72"/>
      <c r="B70" s="72" t="s">
        <v>897</v>
      </c>
      <c r="C70" s="72"/>
      <c r="D70" s="72"/>
      <c r="E70" s="72"/>
      <c r="F70" s="72"/>
      <c r="G70" s="76">
        <f>C7+C8+C9</f>
        <v>200</v>
      </c>
      <c r="H70" s="72"/>
      <c r="I70" s="72"/>
      <c r="J70" s="72"/>
      <c r="K70" s="3"/>
      <c r="L70" s="3"/>
      <c r="M70" s="3"/>
      <c r="N70" s="3"/>
      <c r="O70" s="3"/>
      <c r="P70" s="3"/>
      <c r="Q70" s="3"/>
      <c r="R70" s="3"/>
      <c r="S70" s="3"/>
      <c r="T70" s="3"/>
      <c r="U70" s="3"/>
      <c r="V70" s="3"/>
      <c r="W70" s="3"/>
      <c r="X70" s="3"/>
      <c r="Y70" s="3"/>
      <c r="Z70" s="3"/>
    </row>
    <row r="71" ht="15.75" customHeight="1">
      <c r="A71" s="72"/>
      <c r="B71" s="72" t="s">
        <v>898</v>
      </c>
      <c r="C71" s="72"/>
      <c r="D71" s="72"/>
      <c r="E71" s="72"/>
      <c r="F71" s="72"/>
      <c r="G71" s="77" t="str">
        <f>IF(Iteraciones!$B$22="","Falta el presupuesto de horas",IF(G70=Iteraciones!$B$22,"Coherente: las horas coinciden con las asignadas a las iteraciones (margen de contingencia del Capítulo V: "&amp;Iteraciones!$B$23&amp;" h)",IF(G70&gt;Iteraciones!$B$21,"Excede el presupuesto","Revisar: difiere de las horas asignadas")))</f>
        <v>Coherente: las horas coinciden con las asignadas a las iteraciones (margen de contingencia del Capítulo V: 10 h)</v>
      </c>
      <c r="H71" s="78"/>
      <c r="I71" s="78"/>
      <c r="J71" s="79"/>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80" t="s">
        <v>899</v>
      </c>
      <c r="B73" s="80"/>
      <c r="C73" s="80"/>
      <c r="D73" s="80"/>
      <c r="E73" s="80"/>
      <c r="F73" s="80"/>
      <c r="G73" s="80"/>
      <c r="H73" s="80"/>
      <c r="I73" s="80"/>
      <c r="J73" s="80"/>
      <c r="K73" s="3"/>
      <c r="L73" s="3"/>
      <c r="M73" s="3"/>
      <c r="N73" s="3"/>
      <c r="O73" s="3"/>
      <c r="P73" s="3"/>
      <c r="Q73" s="3"/>
      <c r="R73" s="3"/>
      <c r="S73" s="3"/>
      <c r="T73" s="3"/>
      <c r="U73" s="3"/>
      <c r="V73" s="3"/>
      <c r="W73" s="3"/>
      <c r="X73" s="3"/>
      <c r="Y73" s="3"/>
      <c r="Z73" s="3"/>
    </row>
    <row r="74" ht="27.75" customHeight="1">
      <c r="A74" s="3"/>
      <c r="B74" s="29" t="s">
        <v>900</v>
      </c>
      <c r="C74" s="81">
        <v>1545.118</v>
      </c>
      <c r="D74" s="3"/>
      <c r="E74" s="3"/>
      <c r="F74" s="3"/>
      <c r="G74" s="3"/>
      <c r="H74" s="3"/>
      <c r="I74" s="3"/>
      <c r="J74" s="29" t="s">
        <v>901</v>
      </c>
      <c r="K74" s="3"/>
      <c r="L74" s="3"/>
      <c r="M74" s="3"/>
      <c r="N74" s="3"/>
      <c r="O74" s="3"/>
      <c r="P74" s="3"/>
      <c r="Q74" s="3"/>
      <c r="R74" s="3"/>
      <c r="S74" s="3"/>
      <c r="T74" s="3"/>
      <c r="U74" s="3"/>
      <c r="V74" s="3"/>
      <c r="W74" s="3"/>
      <c r="X74" s="3"/>
      <c r="Y74" s="3"/>
      <c r="Z74" s="3"/>
    </row>
    <row r="75" ht="27.75" customHeight="1">
      <c r="A75" s="3"/>
      <c r="B75" s="29" t="s">
        <v>902</v>
      </c>
      <c r="C75" s="81">
        <v>1486.5</v>
      </c>
      <c r="D75" s="3"/>
      <c r="E75" s="3"/>
      <c r="F75" s="3"/>
      <c r="G75" s="3"/>
      <c r="H75" s="3"/>
      <c r="I75" s="3"/>
      <c r="J75" s="29" t="s">
        <v>903</v>
      </c>
      <c r="K75" s="3"/>
      <c r="L75" s="3"/>
      <c r="M75" s="3"/>
      <c r="N75" s="3"/>
      <c r="O75" s="3"/>
      <c r="P75" s="3"/>
      <c r="Q75" s="3"/>
      <c r="R75" s="3"/>
      <c r="S75" s="3"/>
      <c r="T75" s="3"/>
      <c r="U75" s="3"/>
      <c r="V75" s="3"/>
      <c r="W75" s="3"/>
      <c r="X75" s="3"/>
      <c r="Y75" s="3"/>
      <c r="Z75" s="3"/>
    </row>
    <row r="76" ht="27.75" customHeight="1">
      <c r="A76" s="3"/>
      <c r="B76" s="29" t="s">
        <v>904</v>
      </c>
      <c r="C76" s="82">
        <v>21600.0</v>
      </c>
      <c r="D76" s="3"/>
      <c r="E76" s="3"/>
      <c r="F76" s="3"/>
      <c r="G76" s="3"/>
      <c r="H76" s="3"/>
      <c r="I76" s="3"/>
      <c r="J76" s="29" t="s">
        <v>905</v>
      </c>
      <c r="K76" s="3"/>
      <c r="L76" s="3"/>
      <c r="M76" s="3"/>
      <c r="N76" s="3"/>
      <c r="O76" s="3"/>
      <c r="P76" s="3"/>
      <c r="Q76" s="3"/>
      <c r="R76" s="3"/>
      <c r="S76" s="3"/>
      <c r="T76" s="3"/>
      <c r="U76" s="3"/>
      <c r="V76" s="3"/>
      <c r="W76" s="3"/>
      <c r="X76" s="3"/>
      <c r="Y76" s="3"/>
      <c r="Z76" s="3"/>
    </row>
    <row r="77" ht="15.75" customHeight="1">
      <c r="A77" s="3"/>
      <c r="B77" s="29" t="s">
        <v>906</v>
      </c>
      <c r="C77" s="83">
        <f>Iteraciones!B22</f>
        <v>200</v>
      </c>
      <c r="D77" s="3"/>
      <c r="E77" s="3"/>
      <c r="F77" s="3"/>
      <c r="G77" s="3"/>
      <c r="H77" s="3"/>
      <c r="I77" s="3"/>
      <c r="J77" s="29" t="s">
        <v>907</v>
      </c>
      <c r="K77" s="3"/>
      <c r="L77" s="3"/>
      <c r="M77" s="3"/>
      <c r="N77" s="3"/>
      <c r="O77" s="3"/>
      <c r="P77" s="3"/>
      <c r="Q77" s="3"/>
      <c r="R77" s="3"/>
      <c r="S77" s="3"/>
      <c r="T77" s="3"/>
      <c r="U77" s="3"/>
      <c r="V77" s="3"/>
      <c r="W77" s="3"/>
      <c r="X77" s="3"/>
      <c r="Y77" s="3"/>
      <c r="Z77" s="3"/>
    </row>
    <row r="78" ht="25.5" customHeight="1">
      <c r="A78" s="3"/>
      <c r="B78" s="29" t="s">
        <v>908</v>
      </c>
      <c r="C78" s="84">
        <v>3.0</v>
      </c>
      <c r="D78" s="3"/>
      <c r="E78" s="3"/>
      <c r="F78" s="3"/>
      <c r="G78" s="3"/>
      <c r="H78" s="3"/>
      <c r="I78" s="3"/>
      <c r="J78" s="29" t="s">
        <v>909</v>
      </c>
      <c r="K78" s="3"/>
      <c r="L78" s="3"/>
      <c r="M78" s="3"/>
      <c r="N78" s="3"/>
      <c r="O78" s="3"/>
      <c r="P78" s="3"/>
      <c r="Q78" s="3"/>
      <c r="R78" s="3"/>
      <c r="S78" s="3"/>
      <c r="T78" s="3"/>
      <c r="U78" s="3"/>
      <c r="V78" s="3"/>
      <c r="W78" s="3"/>
      <c r="X78" s="3"/>
      <c r="Y78" s="3"/>
      <c r="Z78" s="3"/>
    </row>
    <row r="79" ht="15.75" customHeight="1">
      <c r="A79" s="3"/>
      <c r="B79" s="29" t="s">
        <v>910</v>
      </c>
      <c r="C79" s="84">
        <v>4.0</v>
      </c>
      <c r="D79" s="3"/>
      <c r="E79" s="3"/>
      <c r="F79" s="3"/>
      <c r="G79" s="3"/>
      <c r="H79" s="3"/>
      <c r="I79" s="3"/>
      <c r="J79" s="29" t="s">
        <v>911</v>
      </c>
      <c r="K79" s="3"/>
      <c r="L79" s="3"/>
      <c r="M79" s="3"/>
      <c r="N79" s="3"/>
      <c r="O79" s="3"/>
      <c r="P79" s="3"/>
      <c r="Q79" s="3"/>
      <c r="R79" s="3"/>
      <c r="S79" s="3"/>
      <c r="T79" s="3"/>
      <c r="U79" s="3"/>
      <c r="V79" s="3"/>
      <c r="W79" s="3"/>
      <c r="X79" s="3"/>
      <c r="Y79" s="3"/>
      <c r="Z79" s="3"/>
    </row>
    <row r="80" ht="15.75" customHeight="1">
      <c r="A80" s="3"/>
      <c r="B80" s="29" t="s">
        <v>912</v>
      </c>
      <c r="C80" s="84">
        <v>720.0</v>
      </c>
      <c r="D80" s="3"/>
      <c r="E80" s="3"/>
      <c r="F80" s="3"/>
      <c r="G80" s="3"/>
      <c r="H80" s="3"/>
      <c r="I80" s="3"/>
      <c r="J80" s="29" t="s">
        <v>913</v>
      </c>
      <c r="K80" s="3"/>
      <c r="L80" s="3"/>
      <c r="M80" s="3"/>
      <c r="N80" s="3"/>
      <c r="O80" s="3"/>
      <c r="P80" s="3"/>
      <c r="Q80" s="3"/>
      <c r="R80" s="3"/>
      <c r="S80" s="3"/>
      <c r="T80" s="3"/>
      <c r="U80" s="3"/>
      <c r="V80" s="3"/>
      <c r="W80" s="3"/>
      <c r="X80" s="3"/>
      <c r="Y80" s="3"/>
      <c r="Z80" s="3"/>
    </row>
    <row r="81" ht="15.75" customHeight="1">
      <c r="A81" s="3"/>
      <c r="B81" s="29" t="s">
        <v>914</v>
      </c>
      <c r="C81" s="85">
        <v>46259.0</v>
      </c>
      <c r="D81" s="3"/>
      <c r="E81" s="3"/>
      <c r="F81" s="3"/>
      <c r="G81" s="3"/>
      <c r="H81" s="3"/>
      <c r="I81" s="3"/>
      <c r="J81" s="29" t="s">
        <v>915</v>
      </c>
      <c r="K81" s="3"/>
      <c r="L81" s="3"/>
      <c r="M81" s="3"/>
      <c r="N81" s="3"/>
      <c r="O81" s="3"/>
      <c r="P81" s="3"/>
      <c r="Q81" s="3"/>
      <c r="R81" s="3"/>
      <c r="S81" s="3"/>
      <c r="T81" s="3"/>
      <c r="U81" s="3"/>
      <c r="V81" s="3"/>
      <c r="W81" s="3"/>
      <c r="X81" s="3"/>
      <c r="Y81" s="3"/>
      <c r="Z81" s="3"/>
    </row>
    <row r="82" ht="15.75" customHeight="1">
      <c r="A82" s="3"/>
      <c r="B82" s="29" t="s">
        <v>916</v>
      </c>
      <c r="C82" s="85">
        <v>46291.0</v>
      </c>
      <c r="D82" s="3"/>
      <c r="E82" s="3"/>
      <c r="F82" s="3"/>
      <c r="G82" s="3"/>
      <c r="H82" s="3"/>
      <c r="I82" s="3"/>
      <c r="J82" s="29" t="s">
        <v>915</v>
      </c>
      <c r="K82" s="3"/>
      <c r="L82" s="3"/>
      <c r="M82" s="3"/>
      <c r="N82" s="3"/>
      <c r="O82" s="3"/>
      <c r="P82" s="3"/>
      <c r="Q82" s="3"/>
      <c r="R82" s="3"/>
      <c r="S82" s="3"/>
      <c r="T82" s="3"/>
      <c r="U82" s="3"/>
      <c r="V82" s="3"/>
      <c r="W82" s="3"/>
      <c r="X82" s="3"/>
      <c r="Y82" s="3"/>
      <c r="Z82" s="3"/>
    </row>
    <row r="83" ht="15.75" customHeight="1">
      <c r="A83" s="3"/>
      <c r="B83" s="29" t="s">
        <v>917</v>
      </c>
      <c r="C83" s="86">
        <f>(C82-C81+1)/30</f>
        <v>1.1</v>
      </c>
      <c r="D83" s="3"/>
      <c r="E83" s="3"/>
      <c r="F83" s="3"/>
      <c r="G83" s="3"/>
      <c r="H83" s="3"/>
      <c r="I83" s="3"/>
      <c r="J83" s="29" t="s">
        <v>918</v>
      </c>
      <c r="K83" s="3"/>
      <c r="L83" s="3"/>
      <c r="M83" s="3"/>
      <c r="N83" s="3"/>
      <c r="O83" s="3"/>
      <c r="P83" s="3"/>
      <c r="Q83" s="3"/>
      <c r="R83" s="3"/>
      <c r="S83" s="3"/>
      <c r="T83" s="3"/>
      <c r="U83" s="3"/>
      <c r="V83" s="3"/>
      <c r="W83" s="3"/>
      <c r="X83" s="3"/>
      <c r="Y83" s="3"/>
      <c r="Z83" s="3"/>
    </row>
    <row r="84" ht="15.75" customHeight="1">
      <c r="A84" s="3"/>
      <c r="B84" s="29" t="s">
        <v>919</v>
      </c>
      <c r="C84" s="87">
        <v>2.4</v>
      </c>
      <c r="D84" s="3"/>
      <c r="E84" s="3"/>
      <c r="F84" s="3"/>
      <c r="G84" s="3"/>
      <c r="H84" s="3"/>
      <c r="I84" s="3"/>
      <c r="J84" s="29" t="s">
        <v>920</v>
      </c>
      <c r="K84" s="3"/>
      <c r="L84" s="3"/>
      <c r="M84" s="3"/>
      <c r="N84" s="3"/>
      <c r="O84" s="3"/>
      <c r="P84" s="3"/>
      <c r="Q84" s="3"/>
      <c r="R84" s="3"/>
      <c r="S84" s="3"/>
      <c r="T84" s="3"/>
      <c r="U84" s="3"/>
      <c r="V84" s="3"/>
      <c r="W84" s="3"/>
      <c r="X84" s="3"/>
      <c r="Y84" s="3"/>
      <c r="Z84" s="3"/>
    </row>
    <row r="85" ht="27.75" customHeight="1">
      <c r="A85" s="3"/>
      <c r="B85" s="29" t="s">
        <v>921</v>
      </c>
      <c r="C85" s="87">
        <v>11.5</v>
      </c>
      <c r="D85" s="3"/>
      <c r="E85" s="3"/>
      <c r="F85" s="3"/>
      <c r="G85" s="3"/>
      <c r="H85" s="3"/>
      <c r="I85" s="3"/>
      <c r="J85" s="29" t="s">
        <v>922</v>
      </c>
      <c r="K85" s="3"/>
      <c r="L85" s="3"/>
      <c r="M85" s="3"/>
      <c r="N85" s="3"/>
      <c r="O85" s="3"/>
      <c r="P85" s="3"/>
      <c r="Q85" s="3"/>
      <c r="R85" s="3"/>
      <c r="S85" s="3"/>
      <c r="T85" s="3"/>
      <c r="U85" s="3"/>
      <c r="V85" s="3"/>
      <c r="W85" s="3"/>
      <c r="X85" s="3"/>
      <c r="Y85" s="3"/>
      <c r="Z85" s="3"/>
    </row>
    <row r="86" ht="27.75" customHeight="1">
      <c r="A86" s="3"/>
      <c r="B86" s="29" t="s">
        <v>923</v>
      </c>
      <c r="C86" s="88">
        <v>38385.01</v>
      </c>
      <c r="D86" s="3"/>
      <c r="E86" s="3"/>
      <c r="F86" s="3"/>
      <c r="G86" s="3"/>
      <c r="H86" s="3"/>
      <c r="I86" s="3"/>
      <c r="J86" s="29" t="s">
        <v>924</v>
      </c>
      <c r="K86" s="3"/>
      <c r="L86" s="3"/>
      <c r="M86" s="3"/>
      <c r="N86" s="3"/>
      <c r="O86" s="3"/>
      <c r="P86" s="3"/>
      <c r="Q86" s="3"/>
      <c r="R86" s="3"/>
      <c r="S86" s="3"/>
      <c r="T86" s="3"/>
      <c r="U86" s="3"/>
      <c r="V86" s="3"/>
      <c r="W86" s="3"/>
      <c r="X86" s="3"/>
      <c r="Y86" s="3"/>
      <c r="Z86" s="3"/>
    </row>
    <row r="87" ht="15.75" customHeight="1">
      <c r="A87" s="3"/>
      <c r="B87" s="29" t="s">
        <v>925</v>
      </c>
      <c r="C87" s="89">
        <v>167772.9</v>
      </c>
      <c r="D87" s="3"/>
      <c r="E87" s="3"/>
      <c r="F87" s="3"/>
      <c r="G87" s="3"/>
      <c r="H87" s="3"/>
      <c r="I87" s="3"/>
      <c r="J87" s="29" t="s">
        <v>926</v>
      </c>
      <c r="K87" s="3"/>
      <c r="L87" s="3"/>
      <c r="M87" s="3"/>
      <c r="N87" s="3"/>
      <c r="O87" s="3"/>
      <c r="P87" s="3"/>
      <c r="Q87" s="3"/>
      <c r="R87" s="3"/>
      <c r="S87" s="3"/>
      <c r="T87" s="3"/>
      <c r="U87" s="3"/>
      <c r="V87" s="3"/>
      <c r="W87" s="3"/>
      <c r="X87" s="3"/>
      <c r="Y87" s="3"/>
      <c r="Z87" s="3"/>
    </row>
    <row r="88" ht="15.75" customHeight="1">
      <c r="A88" s="3"/>
      <c r="B88" s="29" t="s">
        <v>927</v>
      </c>
      <c r="C88" s="90">
        <v>658.0</v>
      </c>
      <c r="D88" s="3"/>
      <c r="E88" s="3"/>
      <c r="F88" s="3"/>
      <c r="G88" s="3"/>
      <c r="H88" s="3"/>
      <c r="I88" s="3"/>
      <c r="J88" s="29" t="s">
        <v>928</v>
      </c>
      <c r="K88" s="3"/>
      <c r="L88" s="3"/>
      <c r="M88" s="3"/>
      <c r="N88" s="3"/>
      <c r="O88" s="3"/>
      <c r="P88" s="3"/>
      <c r="Q88" s="3"/>
      <c r="R88" s="3"/>
      <c r="S88" s="3"/>
      <c r="T88" s="3"/>
      <c r="U88" s="3"/>
      <c r="V88" s="3"/>
      <c r="W88" s="3"/>
      <c r="X88" s="3"/>
      <c r="Y88" s="3"/>
      <c r="Z88" s="3"/>
    </row>
    <row r="89" ht="15.75" customHeight="1">
      <c r="A89" s="3"/>
      <c r="B89" s="29" t="s">
        <v>929</v>
      </c>
      <c r="C89" s="90">
        <v>100.0</v>
      </c>
      <c r="D89" s="3" t="s">
        <v>930</v>
      </c>
      <c r="E89" s="3"/>
      <c r="F89" s="3"/>
      <c r="G89" s="3"/>
      <c r="H89" s="3"/>
      <c r="I89" s="3"/>
      <c r="J89" s="29" t="s">
        <v>931</v>
      </c>
      <c r="K89" s="3"/>
      <c r="L89" s="3"/>
      <c r="M89" s="3"/>
      <c r="N89" s="3"/>
      <c r="O89" s="3"/>
      <c r="P89" s="3"/>
      <c r="Q89" s="3"/>
      <c r="R89" s="3"/>
      <c r="S89" s="3"/>
      <c r="T89" s="3"/>
      <c r="U89" s="3"/>
      <c r="V89" s="3"/>
      <c r="W89" s="3"/>
      <c r="X89" s="3"/>
      <c r="Y89" s="3"/>
      <c r="Z89" s="3"/>
    </row>
    <row r="90" ht="15.75" customHeight="1">
      <c r="A90" s="3"/>
      <c r="B90" s="29" t="s">
        <v>932</v>
      </c>
      <c r="C90" s="82">
        <v>64500.0</v>
      </c>
      <c r="D90" s="3"/>
      <c r="E90" s="3"/>
      <c r="F90" s="3"/>
      <c r="G90" s="3"/>
      <c r="H90" s="3"/>
      <c r="I90" s="3"/>
      <c r="J90" s="29" t="s">
        <v>933</v>
      </c>
      <c r="K90" s="3"/>
      <c r="L90" s="3"/>
      <c r="M90" s="3"/>
      <c r="N90" s="3"/>
      <c r="O90" s="3"/>
      <c r="P90" s="3"/>
      <c r="Q90" s="3"/>
      <c r="R90" s="3"/>
      <c r="S90" s="3"/>
      <c r="T90" s="3"/>
      <c r="U90" s="3"/>
      <c r="V90" s="3"/>
      <c r="W90" s="3"/>
      <c r="X90" s="3"/>
      <c r="Y90" s="3"/>
      <c r="Z90" s="3"/>
    </row>
    <row r="91" ht="15.75" customHeight="1">
      <c r="A91" s="3"/>
      <c r="B91" s="29" t="s">
        <v>934</v>
      </c>
      <c r="C91" s="84">
        <v>3.0</v>
      </c>
      <c r="D91" s="3"/>
      <c r="E91" s="3"/>
      <c r="F91" s="3"/>
      <c r="G91" s="3"/>
      <c r="H91" s="3"/>
      <c r="I91" s="3"/>
      <c r="J91" s="29" t="s">
        <v>935</v>
      </c>
      <c r="K91" s="3"/>
      <c r="L91" s="3"/>
      <c r="M91" s="3"/>
      <c r="N91" s="3"/>
      <c r="O91" s="3"/>
      <c r="P91" s="3"/>
      <c r="Q91" s="3"/>
      <c r="R91" s="3"/>
      <c r="S91" s="3"/>
      <c r="T91" s="3"/>
      <c r="U91" s="3"/>
      <c r="V91" s="3"/>
      <c r="W91" s="3"/>
      <c r="X91" s="3"/>
      <c r="Y91" s="3"/>
      <c r="Z91" s="3"/>
    </row>
    <row r="92" ht="15.75" customHeight="1">
      <c r="A92" s="3"/>
      <c r="B92" s="29" t="s">
        <v>936</v>
      </c>
      <c r="C92" s="84">
        <v>12.0</v>
      </c>
      <c r="D92" s="3"/>
      <c r="E92" s="3"/>
      <c r="F92" s="3"/>
      <c r="G92" s="3"/>
      <c r="H92" s="3"/>
      <c r="I92" s="3"/>
      <c r="J92" s="29" t="s">
        <v>937</v>
      </c>
      <c r="K92" s="3"/>
      <c r="L92" s="3"/>
      <c r="M92" s="3"/>
      <c r="N92" s="3"/>
      <c r="O92" s="3"/>
      <c r="P92" s="3"/>
      <c r="Q92" s="3"/>
      <c r="R92" s="3"/>
      <c r="S92" s="3"/>
      <c r="T92" s="3"/>
      <c r="U92" s="3"/>
      <c r="V92" s="3"/>
      <c r="W92" s="3"/>
      <c r="X92" s="3"/>
      <c r="Y92" s="3"/>
      <c r="Z92" s="3"/>
    </row>
    <row r="93" ht="15.75" customHeight="1">
      <c r="A93" s="3"/>
      <c r="B93" s="29" t="s">
        <v>938</v>
      </c>
      <c r="C93" s="82">
        <v>10502.0</v>
      </c>
      <c r="D93" s="3"/>
      <c r="E93" s="3"/>
      <c r="F93" s="3"/>
      <c r="G93" s="3"/>
      <c r="H93" s="3"/>
      <c r="I93" s="3"/>
      <c r="J93" s="29" t="s">
        <v>939</v>
      </c>
      <c r="K93" s="3"/>
      <c r="L93" s="3"/>
      <c r="M93" s="3"/>
      <c r="N93" s="3"/>
      <c r="O93" s="3"/>
      <c r="P93" s="3"/>
      <c r="Q93" s="3"/>
      <c r="R93" s="3"/>
      <c r="S93" s="3"/>
      <c r="T93" s="3"/>
      <c r="U93" s="3"/>
      <c r="V93" s="3"/>
      <c r="W93" s="3"/>
      <c r="X93" s="3"/>
      <c r="Y93" s="3"/>
      <c r="Z93" s="3"/>
    </row>
    <row r="94" ht="15.75" customHeight="1">
      <c r="A94" s="3"/>
      <c r="B94" s="29" t="s">
        <v>940</v>
      </c>
      <c r="C94" s="82">
        <v>100000.0</v>
      </c>
      <c r="D94" s="3"/>
      <c r="E94" s="3"/>
      <c r="F94" s="3"/>
      <c r="G94" s="3"/>
      <c r="H94" s="3"/>
      <c r="I94" s="3"/>
      <c r="J94" s="29" t="s">
        <v>941</v>
      </c>
      <c r="K94" s="3"/>
      <c r="L94" s="3"/>
      <c r="M94" s="3"/>
      <c r="N94" s="3"/>
      <c r="O94" s="3"/>
      <c r="P94" s="3"/>
      <c r="Q94" s="3"/>
      <c r="R94" s="3"/>
      <c r="S94" s="3"/>
      <c r="T94" s="3"/>
      <c r="U94" s="3"/>
      <c r="V94" s="3"/>
      <c r="W94" s="3"/>
      <c r="X94" s="3"/>
      <c r="Y94" s="3"/>
      <c r="Z94" s="3"/>
    </row>
    <row r="95" ht="15.75" customHeight="1">
      <c r="A95" s="3"/>
      <c r="B95" s="29" t="s">
        <v>942</v>
      </c>
      <c r="C95" s="82">
        <v>67999.0</v>
      </c>
      <c r="D95" s="3"/>
      <c r="E95" s="3"/>
      <c r="F95" s="3"/>
      <c r="G95" s="3"/>
      <c r="H95" s="3"/>
      <c r="I95" s="3"/>
      <c r="J95" s="29" t="s">
        <v>943</v>
      </c>
      <c r="K95" s="3"/>
      <c r="L95" s="3"/>
      <c r="M95" s="3"/>
      <c r="N95" s="3"/>
      <c r="O95" s="3"/>
      <c r="P95" s="3"/>
      <c r="Q95" s="3"/>
      <c r="R95" s="3"/>
      <c r="S95" s="3"/>
      <c r="T95" s="3"/>
      <c r="U95" s="3"/>
      <c r="V95" s="3"/>
      <c r="W95" s="3"/>
      <c r="X95" s="3"/>
      <c r="Y95" s="3"/>
      <c r="Z95" s="3"/>
    </row>
    <row r="96" ht="15.75" customHeight="1">
      <c r="A96" s="3"/>
      <c r="B96" s="29" t="s">
        <v>944</v>
      </c>
      <c r="C96" s="84">
        <v>12.0</v>
      </c>
      <c r="D96" s="3"/>
      <c r="E96" s="3"/>
      <c r="F96" s="3"/>
      <c r="G96" s="3"/>
      <c r="H96" s="3"/>
      <c r="I96" s="3"/>
      <c r="J96" s="29" t="s">
        <v>945</v>
      </c>
      <c r="K96" s="3"/>
      <c r="L96" s="3"/>
      <c r="M96" s="3"/>
      <c r="N96" s="3"/>
      <c r="O96" s="3"/>
      <c r="P96" s="3"/>
      <c r="Q96" s="3"/>
      <c r="R96" s="3"/>
      <c r="S96" s="3"/>
      <c r="T96" s="3"/>
      <c r="U96" s="3"/>
      <c r="V96" s="3"/>
      <c r="W96" s="3"/>
      <c r="X96" s="3"/>
      <c r="Y96" s="3"/>
      <c r="Z96" s="3"/>
    </row>
    <row r="97" ht="15.75" customHeight="1">
      <c r="A97" s="3"/>
      <c r="B97" s="29" t="s">
        <v>946</v>
      </c>
      <c r="C97" s="84">
        <v>4.0</v>
      </c>
      <c r="D97" s="3"/>
      <c r="E97" s="3"/>
      <c r="F97" s="3"/>
      <c r="G97" s="3"/>
      <c r="H97" s="3"/>
      <c r="I97" s="3"/>
      <c r="J97" s="29" t="s">
        <v>947</v>
      </c>
      <c r="K97" s="3"/>
      <c r="L97" s="3"/>
      <c r="M97" s="3"/>
      <c r="N97" s="3"/>
      <c r="O97" s="3"/>
      <c r="P97" s="3"/>
      <c r="Q97" s="3"/>
      <c r="R97" s="3"/>
      <c r="S97" s="3"/>
      <c r="T97" s="3"/>
      <c r="U97" s="3"/>
      <c r="V97" s="3"/>
      <c r="W97" s="3"/>
      <c r="X97" s="3"/>
      <c r="Y97" s="3"/>
      <c r="Z97" s="3"/>
    </row>
    <row r="98" ht="15.0" customHeight="1">
      <c r="A98" s="3"/>
      <c r="B98" s="29" t="s">
        <v>948</v>
      </c>
      <c r="C98" s="91">
        <v>0.15</v>
      </c>
      <c r="D98" s="3"/>
      <c r="E98" s="3"/>
      <c r="F98" s="3"/>
      <c r="G98" s="3"/>
      <c r="H98" s="3"/>
      <c r="I98" s="3"/>
      <c r="J98" s="29" t="s">
        <v>949</v>
      </c>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mergeCells count="3">
    <mergeCell ref="A1:J1"/>
    <mergeCell ref="A2:J2"/>
    <mergeCell ref="G71:J71"/>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8.0"/>
    <col customWidth="1" min="2" max="2" width="16.0"/>
    <col customWidth="1" min="3" max="3" width="73.86"/>
    <col customWidth="1" min="4" max="6" width="8.71"/>
  </cols>
  <sheetData>
    <row r="1" ht="19.5" customHeight="1">
      <c r="A1" s="2" t="s">
        <v>950</v>
      </c>
      <c r="H1" s="3"/>
      <c r="I1" s="3"/>
      <c r="J1" s="3"/>
      <c r="K1" s="3"/>
      <c r="L1" s="3"/>
      <c r="M1" s="3"/>
      <c r="N1" s="3"/>
      <c r="O1" s="3"/>
      <c r="P1" s="3"/>
      <c r="Q1" s="3"/>
      <c r="R1" s="3"/>
      <c r="S1" s="3"/>
      <c r="T1" s="3"/>
      <c r="U1" s="3"/>
      <c r="V1" s="3"/>
      <c r="W1" s="3"/>
      <c r="X1" s="3"/>
      <c r="Y1" s="3"/>
      <c r="Z1" s="3"/>
    </row>
    <row r="2" ht="18.75" customHeight="1">
      <c r="A2" s="5" t="s">
        <v>951</v>
      </c>
      <c r="H2" s="3"/>
      <c r="I2" s="3"/>
      <c r="J2" s="3"/>
      <c r="K2" s="3"/>
      <c r="L2" s="3"/>
      <c r="M2" s="3"/>
      <c r="N2" s="3"/>
      <c r="O2" s="3"/>
      <c r="P2" s="3"/>
      <c r="Q2" s="3"/>
      <c r="R2" s="3"/>
      <c r="S2" s="3"/>
      <c r="T2" s="3"/>
      <c r="U2" s="3"/>
      <c r="V2" s="3"/>
      <c r="W2" s="3"/>
      <c r="X2" s="3"/>
      <c r="Y2" s="3"/>
      <c r="Z2" s="3"/>
    </row>
    <row r="3" ht="9.75" customHeight="1">
      <c r="A3" s="3"/>
      <c r="B3" s="3"/>
      <c r="C3" s="3"/>
      <c r="D3" s="3"/>
      <c r="E3" s="3"/>
      <c r="F3" s="3"/>
      <c r="G3" s="3"/>
      <c r="H3" s="3"/>
      <c r="I3" s="3"/>
      <c r="J3" s="3"/>
      <c r="K3" s="3"/>
      <c r="L3" s="3"/>
      <c r="M3" s="3"/>
      <c r="N3" s="3"/>
      <c r="O3" s="3"/>
      <c r="P3" s="3"/>
      <c r="Q3" s="3"/>
      <c r="R3" s="3"/>
      <c r="S3" s="3"/>
      <c r="T3" s="3"/>
      <c r="U3" s="3"/>
      <c r="V3" s="3"/>
      <c r="W3" s="3"/>
      <c r="X3" s="3"/>
      <c r="Y3" s="3"/>
      <c r="Z3" s="3"/>
    </row>
    <row r="4" ht="30.0" customHeight="1">
      <c r="A4" s="7" t="s">
        <v>952</v>
      </c>
      <c r="B4" s="7" t="s">
        <v>953</v>
      </c>
      <c r="C4" s="7" t="s">
        <v>954</v>
      </c>
      <c r="D4" s="3"/>
      <c r="E4" s="3"/>
      <c r="F4" s="3"/>
      <c r="G4" s="3"/>
      <c r="H4" s="3"/>
      <c r="I4" s="3"/>
      <c r="J4" s="3"/>
      <c r="K4" s="3"/>
      <c r="L4" s="3"/>
      <c r="M4" s="3"/>
      <c r="N4" s="3"/>
      <c r="O4" s="3"/>
      <c r="P4" s="3"/>
      <c r="Q4" s="3"/>
      <c r="R4" s="3"/>
      <c r="S4" s="3"/>
      <c r="T4" s="3"/>
      <c r="U4" s="3"/>
      <c r="V4" s="3"/>
      <c r="W4" s="3"/>
      <c r="X4" s="3"/>
      <c r="Y4" s="3"/>
      <c r="Z4" s="3"/>
    </row>
    <row r="5" ht="30.0" customHeight="1">
      <c r="A5" s="92" t="s">
        <v>955</v>
      </c>
      <c r="B5" s="93">
        <f>COUNTIF('Catálogo'!$A$5:$A$201,"?*")</f>
        <v>44</v>
      </c>
      <c r="C5" s="94" t="s">
        <v>956</v>
      </c>
      <c r="D5" s="3"/>
      <c r="E5" s="3"/>
      <c r="F5" s="3"/>
      <c r="G5" s="3"/>
      <c r="H5" s="3"/>
      <c r="I5" s="3"/>
      <c r="J5" s="3"/>
      <c r="K5" s="3"/>
      <c r="L5" s="3"/>
      <c r="M5" s="3"/>
      <c r="N5" s="3"/>
      <c r="O5" s="3"/>
      <c r="P5" s="3"/>
      <c r="Q5" s="3"/>
      <c r="R5" s="3"/>
      <c r="S5" s="3"/>
      <c r="T5" s="3"/>
      <c r="U5" s="3"/>
      <c r="V5" s="3"/>
      <c r="W5" s="3"/>
      <c r="X5" s="3"/>
      <c r="Y5" s="3"/>
      <c r="Z5" s="3"/>
    </row>
    <row r="6" ht="30.0" customHeight="1">
      <c r="A6" s="92" t="s">
        <v>957</v>
      </c>
      <c r="B6" s="93">
        <f>COUNTIFS('Catálogo'!$A$5:$A$201,"?*",'Catálogo'!$G$5:$G$201,"?*")</f>
        <v>44</v>
      </c>
      <c r="C6" s="94" t="s">
        <v>958</v>
      </c>
      <c r="D6" s="3"/>
      <c r="E6" s="3"/>
      <c r="F6" s="3"/>
      <c r="G6" s="3"/>
      <c r="H6" s="3"/>
      <c r="I6" s="3"/>
      <c r="J6" s="3"/>
      <c r="K6" s="3"/>
      <c r="L6" s="3"/>
      <c r="M6" s="3"/>
      <c r="N6" s="3"/>
      <c r="O6" s="3"/>
      <c r="P6" s="3"/>
      <c r="Q6" s="3"/>
      <c r="R6" s="3"/>
      <c r="S6" s="3"/>
      <c r="T6" s="3"/>
      <c r="U6" s="3"/>
      <c r="V6" s="3"/>
      <c r="W6" s="3"/>
      <c r="X6" s="3"/>
      <c r="Y6" s="3"/>
      <c r="Z6" s="3"/>
    </row>
    <row r="7" ht="30.0" customHeight="1">
      <c r="A7" s="92" t="s">
        <v>959</v>
      </c>
      <c r="B7" s="93">
        <f>COUNTIFS('Catálogo'!$A$5:$A$201,"?*",'Catálogo'!$H$5:$H$201,"?*")</f>
        <v>44</v>
      </c>
      <c r="C7" s="94" t="s">
        <v>960</v>
      </c>
      <c r="D7" s="3"/>
      <c r="E7" s="3"/>
      <c r="F7" s="3"/>
      <c r="G7" s="3"/>
      <c r="H7" s="3"/>
      <c r="I7" s="3"/>
      <c r="J7" s="3"/>
      <c r="K7" s="3"/>
      <c r="L7" s="3"/>
      <c r="M7" s="3"/>
      <c r="N7" s="3"/>
      <c r="O7" s="3"/>
      <c r="P7" s="3"/>
      <c r="Q7" s="3"/>
      <c r="R7" s="3"/>
      <c r="S7" s="3"/>
      <c r="T7" s="3"/>
      <c r="U7" s="3"/>
      <c r="V7" s="3"/>
      <c r="W7" s="3"/>
      <c r="X7" s="3"/>
      <c r="Y7" s="3"/>
      <c r="Z7" s="3"/>
    </row>
    <row r="8" ht="30.0" customHeight="1">
      <c r="A8" s="92" t="s">
        <v>961</v>
      </c>
      <c r="B8" s="93">
        <f>COUNTIFS('Catálogo'!$A$5:$A$201,"?*",'Catálogo'!$C$5:$C$201,"No funcional")</f>
        <v>10</v>
      </c>
      <c r="C8" s="94" t="s">
        <v>962</v>
      </c>
      <c r="D8" s="3"/>
      <c r="E8" s="3"/>
      <c r="F8" s="3"/>
      <c r="G8" s="3"/>
      <c r="H8" s="3"/>
      <c r="I8" s="3"/>
      <c r="J8" s="3"/>
      <c r="K8" s="3"/>
      <c r="L8" s="3"/>
      <c r="M8" s="3"/>
      <c r="N8" s="3"/>
      <c r="O8" s="3"/>
      <c r="P8" s="3"/>
      <c r="Q8" s="3"/>
      <c r="R8" s="3"/>
      <c r="S8" s="3"/>
      <c r="T8" s="3"/>
      <c r="U8" s="3"/>
      <c r="V8" s="3"/>
      <c r="W8" s="3"/>
      <c r="X8" s="3"/>
      <c r="Y8" s="3"/>
      <c r="Z8" s="3"/>
    </row>
    <row r="9" ht="30.0" customHeight="1">
      <c r="A9" s="92" t="s">
        <v>963</v>
      </c>
      <c r="B9" s="93">
        <f>COUNTIFS('Catálogo'!$C$5:$C$201,"No funcional",'Catálogo'!$D$5:$D$201,"")</f>
        <v>0</v>
      </c>
      <c r="C9" s="94" t="s">
        <v>964</v>
      </c>
      <c r="D9" s="3"/>
      <c r="E9" s="3"/>
      <c r="F9" s="3"/>
      <c r="G9" s="3"/>
      <c r="H9" s="3"/>
      <c r="I9" s="3"/>
      <c r="J9" s="3"/>
      <c r="K9" s="3"/>
      <c r="L9" s="3"/>
      <c r="M9" s="3"/>
      <c r="N9" s="3"/>
      <c r="O9" s="3"/>
      <c r="P9" s="3"/>
      <c r="Q9" s="3"/>
      <c r="R9" s="3"/>
      <c r="S9" s="3"/>
      <c r="T9" s="3"/>
      <c r="U9" s="3"/>
      <c r="V9" s="3"/>
      <c r="W9" s="3"/>
      <c r="X9" s="3"/>
      <c r="Y9" s="3"/>
      <c r="Z9" s="3"/>
    </row>
    <row r="10" ht="30.0" customHeight="1">
      <c r="A10" s="92" t="s">
        <v>965</v>
      </c>
      <c r="B10" s="93">
        <f>COUNTIFS('Catálogo'!$A$5:$A$201,"?*",'Catálogo'!$E$5:$E$201,"Must")</f>
        <v>12</v>
      </c>
      <c r="C10" s="94" t="s">
        <v>966</v>
      </c>
      <c r="D10" s="3"/>
      <c r="E10" s="3"/>
      <c r="F10" s="3"/>
      <c r="G10" s="3"/>
      <c r="H10" s="3"/>
      <c r="I10" s="3"/>
      <c r="J10" s="3"/>
      <c r="K10" s="3"/>
      <c r="L10" s="3"/>
      <c r="M10" s="3"/>
      <c r="N10" s="3"/>
      <c r="O10" s="3"/>
      <c r="P10" s="3"/>
      <c r="Q10" s="3"/>
      <c r="R10" s="3"/>
      <c r="S10" s="3"/>
      <c r="T10" s="3"/>
      <c r="U10" s="3"/>
      <c r="V10" s="3"/>
      <c r="W10" s="3"/>
      <c r="X10" s="3"/>
      <c r="Y10" s="3"/>
      <c r="Z10" s="3"/>
    </row>
    <row r="11" ht="30.0" customHeight="1">
      <c r="A11" s="92" t="s">
        <v>967</v>
      </c>
      <c r="B11" s="93">
        <f>COUNTIFS('Catálogo'!$A$5:$A$201,"?*",'Catálogo'!$K$5:$K$201,"Sí")</f>
        <v>12</v>
      </c>
      <c r="C11" s="94" t="s">
        <v>968</v>
      </c>
      <c r="D11" s="3"/>
      <c r="E11" s="3"/>
      <c r="F11" s="3"/>
      <c r="G11" s="3"/>
      <c r="H11" s="3"/>
      <c r="I11" s="3"/>
      <c r="J11" s="3"/>
      <c r="K11" s="3"/>
      <c r="L11" s="3"/>
      <c r="M11" s="3"/>
      <c r="N11" s="3"/>
      <c r="O11" s="3"/>
      <c r="P11" s="3"/>
      <c r="Q11" s="3"/>
      <c r="R11" s="3"/>
      <c r="S11" s="3"/>
      <c r="T11" s="3"/>
      <c r="U11" s="3"/>
      <c r="V11" s="3"/>
      <c r="W11" s="3"/>
      <c r="X11" s="3"/>
      <c r="Y11" s="3"/>
      <c r="Z11" s="3"/>
    </row>
    <row r="12" ht="30.0" customHeight="1">
      <c r="A12" s="92" t="s">
        <v>969</v>
      </c>
      <c r="B12" s="93" t="str">
        <f>IF(COUNTIFS('Catálogo'!$A$5:$A$201,"?*",'Catálogo'!$E$5:$E$201,"Must")=COUNTIFS('Catálogo'!$A$5:$A$201,"?*",'Catálogo'!$K$5:$K$201,"Sí"),"Coherente","REVISAR")</f>
        <v>Coherente</v>
      </c>
      <c r="C12" s="94" t="s">
        <v>970</v>
      </c>
      <c r="D12" s="3"/>
      <c r="E12" s="3"/>
      <c r="F12" s="3"/>
      <c r="G12" s="3"/>
      <c r="H12" s="3"/>
      <c r="I12" s="3"/>
      <c r="J12" s="3"/>
      <c r="K12" s="3"/>
      <c r="L12" s="3"/>
      <c r="M12" s="3"/>
      <c r="N12" s="3"/>
      <c r="O12" s="3"/>
      <c r="P12" s="3"/>
      <c r="Q12" s="3"/>
      <c r="R12" s="3"/>
      <c r="S12" s="3"/>
      <c r="T12" s="3"/>
      <c r="U12" s="3"/>
      <c r="V12" s="3"/>
      <c r="W12" s="3"/>
      <c r="X12" s="3"/>
      <c r="Y12" s="3"/>
      <c r="Z12" s="3"/>
    </row>
    <row r="13" ht="30.0" customHeight="1">
      <c r="A13" s="92" t="s">
        <v>971</v>
      </c>
      <c r="B13" s="93">
        <f>COUNTIFS('Catálogo'!$A$5:$A$201,"?*",'Catálogo'!$I$5:$I$201,"Validado")</f>
        <v>15</v>
      </c>
      <c r="C13" s="94" t="s">
        <v>972</v>
      </c>
      <c r="D13" s="3"/>
      <c r="E13" s="3"/>
      <c r="F13" s="3"/>
      <c r="G13" s="3"/>
      <c r="H13" s="3"/>
      <c r="I13" s="3"/>
      <c r="J13" s="3"/>
      <c r="K13" s="3"/>
      <c r="L13" s="3"/>
      <c r="M13" s="3"/>
      <c r="N13" s="3"/>
      <c r="O13" s="3"/>
      <c r="P13" s="3"/>
      <c r="Q13" s="3"/>
      <c r="R13" s="3"/>
      <c r="S13" s="3"/>
      <c r="T13" s="3"/>
      <c r="U13" s="3"/>
      <c r="V13" s="3"/>
      <c r="W13" s="3"/>
      <c r="X13" s="3"/>
      <c r="Y13" s="3"/>
      <c r="Z13" s="3"/>
    </row>
    <row r="14" ht="30.0" customHeight="1">
      <c r="A14" s="92" t="s">
        <v>973</v>
      </c>
      <c r="B14" s="93">
        <f>COUNTIF('Catálogo'!$L$5:$L$201,"Faltan campos")+COUNTIF('Catálogo'!$L$5:$L$201,"Falta categoría")+COUNTIF('Catálogo'!$L$5:$L$201,"Falta definir si integra el MVP")</f>
        <v>0</v>
      </c>
      <c r="C14" s="94" t="s">
        <v>974</v>
      </c>
      <c r="D14" s="3"/>
      <c r="E14" s="3"/>
      <c r="F14" s="3"/>
      <c r="G14" s="3"/>
      <c r="H14" s="3"/>
      <c r="I14" s="3"/>
      <c r="J14" s="3"/>
      <c r="K14" s="3"/>
      <c r="L14" s="3"/>
      <c r="M14" s="3"/>
      <c r="N14" s="3"/>
      <c r="O14" s="3"/>
      <c r="P14" s="3"/>
      <c r="Q14" s="3"/>
      <c r="R14" s="3"/>
      <c r="S14" s="3"/>
      <c r="T14" s="3"/>
      <c r="U14" s="3"/>
      <c r="V14" s="3"/>
      <c r="W14" s="3"/>
      <c r="X14" s="3"/>
      <c r="Y14" s="3"/>
      <c r="Z14" s="3"/>
    </row>
    <row r="15" ht="30.0" customHeight="1">
      <c r="A15" s="92" t="s">
        <v>975</v>
      </c>
      <c r="B15" s="93">
        <f>COUNTIF(Trazabilidad!$A$5:$A$61,"?*")</f>
        <v>21</v>
      </c>
      <c r="C15" s="94" t="s">
        <v>976</v>
      </c>
      <c r="D15" s="3"/>
      <c r="E15" s="3"/>
      <c r="F15" s="3"/>
      <c r="G15" s="3"/>
      <c r="H15" s="3"/>
      <c r="I15" s="3"/>
      <c r="J15" s="3"/>
      <c r="K15" s="3"/>
      <c r="L15" s="3"/>
      <c r="M15" s="3"/>
      <c r="N15" s="3"/>
      <c r="O15" s="3"/>
      <c r="P15" s="3"/>
      <c r="Q15" s="3"/>
      <c r="R15" s="3"/>
      <c r="S15" s="3"/>
      <c r="T15" s="3"/>
      <c r="U15" s="3"/>
      <c r="V15" s="3"/>
      <c r="W15" s="3"/>
      <c r="X15" s="3"/>
      <c r="Y15" s="3"/>
      <c r="Z15" s="3"/>
    </row>
    <row r="16" ht="30.0" customHeight="1">
      <c r="A16" s="92" t="s">
        <v>977</v>
      </c>
      <c r="B16" s="93">
        <f>COUNTIF(Trazabilidad!$F$5:$F$61,"Hallazgo sin destino")</f>
        <v>0</v>
      </c>
      <c r="C16" s="94" t="s">
        <v>978</v>
      </c>
      <c r="D16" s="3"/>
      <c r="E16" s="3"/>
      <c r="F16" s="3"/>
      <c r="G16" s="3"/>
      <c r="H16" s="3"/>
      <c r="I16" s="3"/>
      <c r="J16" s="3"/>
      <c r="K16" s="3"/>
      <c r="L16" s="3"/>
      <c r="M16" s="3"/>
      <c r="N16" s="3"/>
      <c r="O16" s="3"/>
      <c r="P16" s="3"/>
      <c r="Q16" s="3"/>
      <c r="R16" s="3"/>
      <c r="S16" s="3"/>
      <c r="T16" s="3"/>
      <c r="U16" s="3"/>
      <c r="V16" s="3"/>
      <c r="W16" s="3"/>
      <c r="X16" s="3"/>
      <c r="Y16" s="3"/>
      <c r="Z16" s="3"/>
    </row>
    <row r="17" ht="30.0" customHeight="1">
      <c r="A17" s="92" t="s">
        <v>979</v>
      </c>
      <c r="B17" s="93">
        <f>COUNTIF(Entidades!$E$5:$E$60,"Entidad")</f>
        <v>16</v>
      </c>
      <c r="C17" s="94" t="s">
        <v>980</v>
      </c>
      <c r="D17" s="3"/>
      <c r="E17" s="3"/>
      <c r="F17" s="3"/>
      <c r="G17" s="3"/>
      <c r="H17" s="3"/>
      <c r="I17" s="3"/>
      <c r="J17" s="3"/>
      <c r="K17" s="3"/>
      <c r="L17" s="3"/>
      <c r="M17" s="3"/>
      <c r="N17" s="3"/>
      <c r="O17" s="3"/>
      <c r="P17" s="3"/>
      <c r="Q17" s="3"/>
      <c r="R17" s="3"/>
      <c r="S17" s="3"/>
      <c r="T17" s="3"/>
      <c r="U17" s="3"/>
      <c r="V17" s="3"/>
      <c r="W17" s="3"/>
      <c r="X17" s="3"/>
      <c r="Y17" s="3"/>
      <c r="Z17" s="3"/>
    </row>
    <row r="18" ht="30.0" customHeight="1">
      <c r="A18" s="92" t="s">
        <v>981</v>
      </c>
      <c r="B18" s="93">
        <f>COUNTIF(Entidades!$A$5:$A$60,"?*")-COUNTIF(Entidades!$E$5:$E$60,"Entidad")</f>
        <v>13</v>
      </c>
      <c r="C18" s="94" t="s">
        <v>982</v>
      </c>
      <c r="D18" s="3"/>
      <c r="E18" s="3"/>
      <c r="F18" s="3"/>
      <c r="G18" s="3"/>
      <c r="H18" s="3"/>
      <c r="I18" s="3"/>
      <c r="J18" s="3"/>
      <c r="K18" s="3"/>
      <c r="L18" s="3"/>
      <c r="M18" s="3"/>
      <c r="N18" s="3"/>
      <c r="O18" s="3"/>
      <c r="P18" s="3"/>
      <c r="Q18" s="3"/>
      <c r="R18" s="3"/>
      <c r="S18" s="3"/>
      <c r="T18" s="3"/>
      <c r="U18" s="3"/>
      <c r="V18" s="3"/>
      <c r="W18" s="3"/>
      <c r="X18" s="3"/>
      <c r="Y18" s="3"/>
      <c r="Z18" s="3"/>
    </row>
    <row r="19" ht="30.0" customHeight="1">
      <c r="A19" s="92" t="s">
        <v>983</v>
      </c>
      <c r="B19" s="93">
        <f>COUNTIF(Reglas!$C$5:$C$40,"?*")</f>
        <v>21</v>
      </c>
      <c r="C19" s="94" t="s">
        <v>984</v>
      </c>
      <c r="D19" s="3"/>
      <c r="E19" s="3"/>
      <c r="F19" s="3"/>
      <c r="G19" s="3"/>
      <c r="H19" s="3"/>
      <c r="I19" s="3"/>
      <c r="J19" s="3"/>
      <c r="K19" s="3"/>
      <c r="L19" s="3"/>
      <c r="M19" s="3"/>
      <c r="N19" s="3"/>
      <c r="O19" s="3"/>
      <c r="P19" s="3"/>
      <c r="Q19" s="3"/>
      <c r="R19" s="3"/>
      <c r="S19" s="3"/>
      <c r="T19" s="3"/>
      <c r="U19" s="3"/>
      <c r="V19" s="3"/>
      <c r="W19" s="3"/>
      <c r="X19" s="3"/>
      <c r="Y19" s="3"/>
      <c r="Z19" s="3"/>
    </row>
    <row r="20" ht="30.0" customHeight="1">
      <c r="A20" s="92" t="s">
        <v>985</v>
      </c>
      <c r="B20" s="93">
        <f>COUNTIF(Reglas!$E$5:$E$40,"Pendiente")+COUNTIF(Reglas!$E$5:$E$40,"En disputa")</f>
        <v>14</v>
      </c>
      <c r="C20" s="94" t="s">
        <v>986</v>
      </c>
      <c r="D20" s="3"/>
      <c r="E20" s="3"/>
      <c r="F20" s="3"/>
      <c r="G20" s="3"/>
      <c r="H20" s="3"/>
      <c r="I20" s="3"/>
      <c r="J20" s="3"/>
      <c r="K20" s="3"/>
      <c r="L20" s="3"/>
      <c r="M20" s="3"/>
      <c r="N20" s="3"/>
      <c r="O20" s="3"/>
      <c r="P20" s="3"/>
      <c r="Q20" s="3"/>
      <c r="R20" s="3"/>
      <c r="S20" s="3"/>
      <c r="T20" s="3"/>
      <c r="U20" s="3"/>
      <c r="V20" s="3"/>
      <c r="W20" s="3"/>
      <c r="X20" s="3"/>
      <c r="Y20" s="3"/>
      <c r="Z20" s="3"/>
    </row>
    <row r="21" ht="30.0" customHeight="1">
      <c r="A21" s="92" t="s">
        <v>987</v>
      </c>
      <c r="B21" s="93">
        <f>COUNTIF(Glosario!$E$5:$E$45,"Sí")</f>
        <v>0</v>
      </c>
      <c r="C21" s="94" t="s">
        <v>988</v>
      </c>
      <c r="D21" s="3"/>
      <c r="E21" s="3"/>
      <c r="F21" s="3"/>
      <c r="G21" s="3"/>
      <c r="H21" s="3"/>
      <c r="I21" s="3"/>
      <c r="J21" s="3"/>
      <c r="K21" s="3"/>
      <c r="L21" s="3"/>
      <c r="M21" s="3"/>
      <c r="N21" s="3"/>
      <c r="O21" s="3"/>
      <c r="P21" s="3"/>
      <c r="Q21" s="3"/>
      <c r="R21" s="3"/>
      <c r="S21" s="3"/>
      <c r="T21" s="3"/>
      <c r="U21" s="3"/>
      <c r="V21" s="3"/>
      <c r="W21" s="3"/>
      <c r="X21" s="3"/>
      <c r="Y21" s="3"/>
      <c r="Z21" s="3"/>
    </row>
    <row r="22" ht="30.0" customHeight="1">
      <c r="A22" s="92" t="s">
        <v>989</v>
      </c>
      <c r="B22" s="93">
        <f>SUM(Iteraciones!$G$5:$G$12)</f>
        <v>200</v>
      </c>
      <c r="C22" s="94" t="s">
        <v>990</v>
      </c>
      <c r="D22" s="3"/>
      <c r="E22" s="3"/>
      <c r="F22" s="3"/>
      <c r="G22" s="3"/>
      <c r="H22" s="3"/>
      <c r="I22" s="3"/>
      <c r="J22" s="3"/>
      <c r="K22" s="3"/>
      <c r="L22" s="3"/>
      <c r="M22" s="3"/>
      <c r="N22" s="3"/>
      <c r="O22" s="3"/>
      <c r="P22" s="3"/>
      <c r="Q22" s="3"/>
      <c r="R22" s="3"/>
      <c r="S22" s="3"/>
      <c r="T22" s="3"/>
      <c r="U22" s="3"/>
      <c r="V22" s="3"/>
      <c r="W22" s="3"/>
      <c r="X22" s="3"/>
      <c r="Y22" s="3"/>
      <c r="Z22" s="3"/>
    </row>
    <row r="23" ht="126.0" customHeight="1">
      <c r="A23" s="92" t="s">
        <v>991</v>
      </c>
      <c r="B23" s="93" t="str">
        <f>Recursos!$G$71</f>
        <v>Coherente: las horas coinciden con las asignadas a las iteraciones (margen de contingencia del Capítulo V: 10 h)</v>
      </c>
      <c r="C23" s="94" t="s">
        <v>992</v>
      </c>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0" t="s">
        <v>993</v>
      </c>
      <c r="B25" s="3"/>
      <c r="C25" s="3"/>
      <c r="D25" s="3"/>
      <c r="E25" s="3"/>
      <c r="F25" s="3"/>
      <c r="G25" s="3"/>
      <c r="H25" s="3"/>
      <c r="I25" s="3"/>
      <c r="J25" s="3"/>
      <c r="K25" s="3"/>
      <c r="L25" s="3"/>
      <c r="M25" s="3"/>
      <c r="N25" s="3"/>
      <c r="O25" s="3"/>
      <c r="P25" s="3"/>
      <c r="Q25" s="3"/>
      <c r="R25" s="3"/>
      <c r="S25" s="3"/>
      <c r="T25" s="3"/>
      <c r="U25" s="3"/>
      <c r="V25" s="3"/>
      <c r="W25" s="3"/>
      <c r="X25" s="3"/>
      <c r="Y25" s="3"/>
      <c r="Z25" s="3"/>
    </row>
    <row r="26" ht="15.0" customHeight="1">
      <c r="A26" s="95" t="s">
        <v>994</v>
      </c>
      <c r="B26" s="96"/>
      <c r="C26" s="97"/>
      <c r="D26" s="3"/>
      <c r="E26" s="3"/>
      <c r="F26" s="3"/>
      <c r="G26" s="3"/>
      <c r="H26" s="3"/>
      <c r="I26" s="3"/>
      <c r="J26" s="3"/>
      <c r="K26" s="3"/>
      <c r="L26" s="3"/>
      <c r="M26" s="3"/>
      <c r="N26" s="3"/>
      <c r="O26" s="3"/>
      <c r="P26" s="3"/>
      <c r="Q26" s="3"/>
      <c r="R26" s="3"/>
      <c r="S26" s="3"/>
      <c r="T26" s="3"/>
      <c r="U26" s="3"/>
      <c r="V26" s="3"/>
      <c r="W26" s="3"/>
      <c r="X26" s="3"/>
      <c r="Y26" s="3"/>
      <c r="Z26" s="3"/>
    </row>
    <row r="27" ht="15.75" customHeight="1">
      <c r="A27" s="98"/>
      <c r="B27" s="99"/>
      <c r="C27" s="100"/>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7" t="s">
        <v>995</v>
      </c>
      <c r="B29" s="7" t="s">
        <v>953</v>
      </c>
      <c r="C29" s="7" t="s">
        <v>954</v>
      </c>
      <c r="D29" s="3"/>
      <c r="E29" s="3"/>
      <c r="F29" s="3"/>
      <c r="G29" s="3"/>
      <c r="H29" s="3"/>
      <c r="I29" s="3"/>
      <c r="J29" s="3"/>
      <c r="K29" s="3"/>
      <c r="L29" s="3"/>
      <c r="M29" s="3"/>
      <c r="N29" s="3"/>
      <c r="O29" s="3"/>
      <c r="P29" s="3"/>
      <c r="Q29" s="3"/>
      <c r="R29" s="3"/>
      <c r="S29" s="3"/>
      <c r="T29" s="3"/>
      <c r="U29" s="3"/>
      <c r="V29" s="3"/>
      <c r="W29" s="3"/>
      <c r="X29" s="3"/>
      <c r="Y29" s="3"/>
      <c r="Z29" s="3"/>
    </row>
    <row r="30" ht="30.0" customHeight="1">
      <c r="A30" s="92" t="s">
        <v>996</v>
      </c>
      <c r="B30" s="93">
        <f>COUNTIF('Catálogo'!$H$5:$H$201,"EXTRA*")</f>
        <v>24</v>
      </c>
      <c r="C30" s="94" t="s">
        <v>997</v>
      </c>
      <c r="D30" s="3"/>
      <c r="E30" s="3"/>
      <c r="F30" s="3"/>
      <c r="G30" s="3"/>
      <c r="H30" s="3"/>
      <c r="I30" s="3"/>
      <c r="J30" s="3"/>
      <c r="K30" s="3"/>
      <c r="L30" s="3"/>
      <c r="M30" s="3"/>
      <c r="N30" s="3"/>
      <c r="O30" s="3"/>
      <c r="P30" s="3"/>
      <c r="Q30" s="3"/>
      <c r="R30" s="3"/>
      <c r="S30" s="3"/>
      <c r="T30" s="3"/>
      <c r="U30" s="3"/>
      <c r="V30" s="3"/>
      <c r="W30" s="3"/>
      <c r="X30" s="3"/>
      <c r="Y30" s="3"/>
      <c r="Z30" s="3"/>
    </row>
    <row r="31" ht="30.0" customHeight="1">
      <c r="A31" s="92" t="s">
        <v>998</v>
      </c>
      <c r="B31" s="93">
        <f>B7-B30</f>
        <v>20</v>
      </c>
      <c r="C31" s="94" t="s">
        <v>999</v>
      </c>
      <c r="D31" s="3"/>
      <c r="E31" s="3"/>
      <c r="F31" s="3"/>
      <c r="G31" s="3"/>
      <c r="H31" s="3"/>
      <c r="I31" s="3"/>
      <c r="J31" s="3"/>
      <c r="K31" s="3"/>
      <c r="L31" s="3"/>
      <c r="M31" s="3"/>
      <c r="N31" s="3"/>
      <c r="O31" s="3"/>
      <c r="P31" s="3"/>
      <c r="Q31" s="3"/>
      <c r="R31" s="3"/>
      <c r="S31" s="3"/>
      <c r="T31" s="3"/>
      <c r="U31" s="3"/>
      <c r="V31" s="3"/>
      <c r="W31" s="3"/>
      <c r="X31" s="3"/>
      <c r="Y31" s="3"/>
      <c r="Z31" s="3"/>
    </row>
    <row r="32" ht="30.0" customHeight="1">
      <c r="A32" s="92" t="s">
        <v>1000</v>
      </c>
      <c r="B32" s="93">
        <f>COUNTIFS('Catálogo'!$A$5:$A$201,"?*",'Catálogo'!$I$5:$I$201,"Pendiente")</f>
        <v>29</v>
      </c>
      <c r="C32" s="94" t="s">
        <v>1001</v>
      </c>
      <c r="D32" s="3"/>
      <c r="E32" s="3"/>
      <c r="F32" s="3"/>
      <c r="G32" s="3"/>
      <c r="H32" s="3"/>
      <c r="I32" s="3"/>
      <c r="J32" s="3"/>
      <c r="K32" s="3"/>
      <c r="L32" s="3"/>
      <c r="M32" s="3"/>
      <c r="N32" s="3"/>
      <c r="O32" s="3"/>
      <c r="P32" s="3"/>
      <c r="Q32" s="3"/>
      <c r="R32" s="3"/>
      <c r="S32" s="3"/>
      <c r="T32" s="3"/>
      <c r="U32" s="3"/>
      <c r="V32" s="3"/>
      <c r="W32" s="3"/>
      <c r="X32" s="3"/>
      <c r="Y32" s="3"/>
      <c r="Z32" s="3"/>
    </row>
    <row r="33" ht="30.0" customHeight="1">
      <c r="A33" s="92" t="s">
        <v>1002</v>
      </c>
      <c r="B33" s="93">
        <f>B5-COUNTIF('Código y pruebas'!$A$5:$A$100,"?*")</f>
        <v>0</v>
      </c>
      <c r="C33" s="94" t="s">
        <v>964</v>
      </c>
      <c r="D33" s="3"/>
      <c r="E33" s="3"/>
      <c r="F33" s="3"/>
      <c r="G33" s="3"/>
      <c r="H33" s="3"/>
      <c r="I33" s="3"/>
      <c r="J33" s="3"/>
      <c r="K33" s="3"/>
      <c r="L33" s="3"/>
      <c r="M33" s="3"/>
      <c r="N33" s="3"/>
      <c r="O33" s="3"/>
      <c r="P33" s="3"/>
      <c r="Q33" s="3"/>
      <c r="R33" s="3"/>
      <c r="S33" s="3"/>
      <c r="T33" s="3"/>
      <c r="U33" s="3"/>
      <c r="V33" s="3"/>
      <c r="W33" s="3"/>
      <c r="X33" s="3"/>
      <c r="Y33" s="3"/>
      <c r="Z33" s="3"/>
    </row>
    <row r="34" ht="30.0" customHeight="1">
      <c r="A34" s="92" t="s">
        <v>1003</v>
      </c>
      <c r="B34" s="93">
        <f>COUNTIF('Código y pruebas'!$D$5:$D$100,"Con prueba")</f>
        <v>15</v>
      </c>
      <c r="C34" s="94" t="s">
        <v>1004</v>
      </c>
      <c r="D34" s="3"/>
      <c r="E34" s="3"/>
      <c r="F34" s="3"/>
      <c r="G34" s="3"/>
      <c r="H34" s="3"/>
      <c r="I34" s="3"/>
      <c r="J34" s="3"/>
      <c r="K34" s="3"/>
      <c r="L34" s="3"/>
      <c r="M34" s="3"/>
      <c r="N34" s="3"/>
      <c r="O34" s="3"/>
      <c r="P34" s="3"/>
      <c r="Q34" s="3"/>
      <c r="R34" s="3"/>
      <c r="S34" s="3"/>
      <c r="T34" s="3"/>
      <c r="U34" s="3"/>
      <c r="V34" s="3"/>
      <c r="W34" s="3"/>
      <c r="X34" s="3"/>
      <c r="Y34" s="3"/>
      <c r="Z34" s="3"/>
    </row>
    <row r="35" ht="30.0" customHeight="1">
      <c r="A35" s="92" t="s">
        <v>1005</v>
      </c>
      <c r="B35" s="93">
        <f>COUNTIF('Código y pruebas'!$D$5:$D$100,"Parcial")</f>
        <v>19</v>
      </c>
      <c r="C35" s="94" t="s">
        <v>1006</v>
      </c>
      <c r="D35" s="3"/>
      <c r="E35" s="3"/>
      <c r="F35" s="3"/>
      <c r="G35" s="3"/>
      <c r="H35" s="3"/>
      <c r="I35" s="3"/>
      <c r="J35" s="3"/>
      <c r="K35" s="3"/>
      <c r="L35" s="3"/>
      <c r="M35" s="3"/>
      <c r="N35" s="3"/>
      <c r="O35" s="3"/>
      <c r="P35" s="3"/>
      <c r="Q35" s="3"/>
      <c r="R35" s="3"/>
      <c r="S35" s="3"/>
      <c r="T35" s="3"/>
      <c r="U35" s="3"/>
      <c r="V35" s="3"/>
      <c r="W35" s="3"/>
      <c r="X35" s="3"/>
      <c r="Y35" s="3"/>
      <c r="Z35" s="3"/>
    </row>
    <row r="36" ht="30.0" customHeight="1">
      <c r="A36" s="92" t="s">
        <v>1007</v>
      </c>
      <c r="B36" s="93">
        <f>COUNTIF('Código y pruebas'!$D$5:$D$100,"Sin prueba")</f>
        <v>10</v>
      </c>
      <c r="C36" s="94" t="s">
        <v>1008</v>
      </c>
      <c r="D36" s="3"/>
      <c r="E36" s="3"/>
      <c r="F36" s="3"/>
      <c r="G36" s="3"/>
      <c r="H36" s="3"/>
      <c r="I36" s="3"/>
      <c r="J36" s="3"/>
      <c r="K36" s="3"/>
      <c r="L36" s="3"/>
      <c r="M36" s="3"/>
      <c r="N36" s="3"/>
      <c r="O36" s="3"/>
      <c r="P36" s="3"/>
      <c r="Q36" s="3"/>
      <c r="R36" s="3"/>
      <c r="S36" s="3"/>
      <c r="T36" s="3"/>
      <c r="U36" s="3"/>
      <c r="V36" s="3"/>
      <c r="W36" s="3"/>
      <c r="X36" s="3"/>
      <c r="Y36" s="3"/>
      <c r="Z36" s="3"/>
    </row>
    <row r="37" ht="30.0" customHeight="1">
      <c r="A37" s="92" t="s">
        <v>1009</v>
      </c>
      <c r="B37" s="93">
        <f>COUNTIF('Código y pruebas'!$F$5:$F$100,"Abierta")</f>
        <v>32</v>
      </c>
      <c r="C37" s="94" t="s">
        <v>1010</v>
      </c>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3">
    <mergeCell ref="A1:G1"/>
    <mergeCell ref="A2:G2"/>
    <mergeCell ref="A26:C27"/>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9.0"/>
    <col customWidth="1" min="2" max="2" width="62.0"/>
    <col customWidth="1" min="3" max="3" width="58.0"/>
    <col customWidth="1" min="4" max="4" width="13.0"/>
    <col customWidth="1" min="5" max="5" width="70.0"/>
    <col customWidth="1" min="6" max="6" width="18.0"/>
    <col customWidth="1" min="7" max="7" width="62.0"/>
    <col customWidth="1" min="8" max="8" width="22.0"/>
    <col customWidth="1" min="9" max="26" width="8.71"/>
  </cols>
  <sheetData>
    <row r="1" ht="19.5" customHeight="1">
      <c r="A1" s="2" t="s">
        <v>1011</v>
      </c>
    </row>
    <row r="2" ht="30.0" customHeight="1">
      <c r="A2" s="5" t="s">
        <v>1012</v>
      </c>
    </row>
    <row r="4" ht="40.5" customHeight="1">
      <c r="A4" s="7" t="s">
        <v>9</v>
      </c>
      <c r="B4" s="7" t="s">
        <v>1013</v>
      </c>
      <c r="C4" s="7" t="s">
        <v>1014</v>
      </c>
      <c r="D4" s="7" t="s">
        <v>1015</v>
      </c>
      <c r="E4" s="7" t="s">
        <v>1016</v>
      </c>
      <c r="F4" s="7" t="s">
        <v>1017</v>
      </c>
      <c r="G4" s="7" t="s">
        <v>1018</v>
      </c>
      <c r="H4" s="7" t="s">
        <v>1019</v>
      </c>
    </row>
    <row r="5" ht="63.0" customHeight="1">
      <c r="A5" s="12" t="s">
        <v>32</v>
      </c>
      <c r="B5" s="12" t="s">
        <v>1020</v>
      </c>
      <c r="C5" s="12" t="s">
        <v>1021</v>
      </c>
      <c r="D5" s="12" t="s">
        <v>1022</v>
      </c>
      <c r="E5" s="12" t="s">
        <v>1023</v>
      </c>
      <c r="F5" s="12" t="s">
        <v>1024</v>
      </c>
      <c r="G5" s="12" t="s">
        <v>1025</v>
      </c>
      <c r="H5" s="13" t="str">
        <f>IF($A5="","",IF(COUNTIF('Catálogo'!$A$5:$A$201,$A5)=1,"Está en el catálogo","No está en el catálogo"))</f>
        <v>Está en el catálogo</v>
      </c>
    </row>
    <row r="6" ht="51.75" customHeight="1">
      <c r="A6" s="12" t="s">
        <v>77</v>
      </c>
      <c r="B6" s="12" t="s">
        <v>1026</v>
      </c>
      <c r="C6" s="12" t="s">
        <v>1027</v>
      </c>
      <c r="D6" s="12" t="s">
        <v>1028</v>
      </c>
      <c r="E6" s="12" t="s">
        <v>1029</v>
      </c>
      <c r="F6" s="12" t="s">
        <v>1030</v>
      </c>
      <c r="G6" s="12" t="s">
        <v>1031</v>
      </c>
      <c r="H6" s="13" t="str">
        <f>IF($A6="","",IF(COUNTIF('Catálogo'!$A$5:$A$201,$A6)=1,"Está en el catálogo","No está en el catálogo"))</f>
        <v>Está en el catálogo</v>
      </c>
    </row>
    <row r="7" ht="63.0" customHeight="1">
      <c r="A7" s="12" t="s">
        <v>97</v>
      </c>
      <c r="B7" s="12" t="s">
        <v>1032</v>
      </c>
      <c r="C7" s="12" t="s">
        <v>1033</v>
      </c>
      <c r="D7" s="12" t="s">
        <v>1028</v>
      </c>
      <c r="E7" s="12" t="s">
        <v>1034</v>
      </c>
      <c r="F7" s="12" t="s">
        <v>1030</v>
      </c>
      <c r="G7" s="12" t="s">
        <v>1035</v>
      </c>
      <c r="H7" s="13" t="str">
        <f>IF($A7="","",IF(COUNTIF('Catálogo'!$A$5:$A$201,$A7)=1,"Está en el catálogo","No está en el catálogo"))</f>
        <v>Está en el catálogo</v>
      </c>
    </row>
    <row r="8" ht="63.0" customHeight="1">
      <c r="A8" s="12" t="s">
        <v>116</v>
      </c>
      <c r="B8" s="12" t="s">
        <v>1036</v>
      </c>
      <c r="C8" s="12" t="s">
        <v>1037</v>
      </c>
      <c r="D8" s="12" t="s">
        <v>1028</v>
      </c>
      <c r="E8" s="12" t="s">
        <v>1038</v>
      </c>
      <c r="F8" s="12" t="s">
        <v>1030</v>
      </c>
      <c r="G8" s="12" t="s">
        <v>1039</v>
      </c>
      <c r="H8" s="13" t="str">
        <f>IF($A8="","",IF(COUNTIF('Catálogo'!$A$5:$A$201,$A8)=1,"Está en el catálogo","No está en el catálogo"))</f>
        <v>Está en el catálogo</v>
      </c>
    </row>
    <row r="9" ht="51.75" customHeight="1">
      <c r="A9" s="12" t="s">
        <v>144</v>
      </c>
      <c r="B9" s="12" t="s">
        <v>1040</v>
      </c>
      <c r="C9" s="12" t="s">
        <v>1041</v>
      </c>
      <c r="D9" s="12" t="s">
        <v>1022</v>
      </c>
      <c r="E9" s="12" t="s">
        <v>1042</v>
      </c>
      <c r="F9" s="12" t="s">
        <v>1030</v>
      </c>
      <c r="G9" s="12" t="s">
        <v>1043</v>
      </c>
      <c r="H9" s="13" t="str">
        <f>IF($A9="","",IF(COUNTIF('Catálogo'!$A$5:$A$201,$A9)=1,"Está en el catálogo","No está en el catálogo"))</f>
        <v>Está en el catálogo</v>
      </c>
    </row>
    <row r="10" ht="63.0" customHeight="1">
      <c r="A10" s="12" t="s">
        <v>156</v>
      </c>
      <c r="B10" s="12" t="s">
        <v>1044</v>
      </c>
      <c r="C10" s="12" t="s">
        <v>1045</v>
      </c>
      <c r="D10" s="12" t="s">
        <v>1022</v>
      </c>
      <c r="E10" s="12" t="s">
        <v>1046</v>
      </c>
      <c r="F10" s="12" t="s">
        <v>1030</v>
      </c>
      <c r="G10" s="12" t="s">
        <v>1047</v>
      </c>
      <c r="H10" s="13" t="str">
        <f>IF($A10="","",IF(COUNTIF('Catálogo'!$A$5:$A$201,$A10)=1,"Está en el catálogo","No está en el catálogo"))</f>
        <v>Está en el catálogo</v>
      </c>
    </row>
    <row r="11" ht="51.75" customHeight="1">
      <c r="A11" s="12" t="s">
        <v>202</v>
      </c>
      <c r="B11" s="12" t="s">
        <v>1048</v>
      </c>
      <c r="C11" s="12" t="s">
        <v>1049</v>
      </c>
      <c r="D11" s="12" t="s">
        <v>1022</v>
      </c>
      <c r="E11" s="12" t="s">
        <v>1050</v>
      </c>
      <c r="F11" s="12" t="s">
        <v>1024</v>
      </c>
      <c r="G11" s="12" t="s">
        <v>1051</v>
      </c>
      <c r="H11" s="13" t="str">
        <f>IF($A11="","",IF(COUNTIF('Catálogo'!$A$5:$A$201,$A11)=1,"Está en el catálogo","No está en el catálogo"))</f>
        <v>Está en el catálogo</v>
      </c>
    </row>
    <row r="12" ht="51.75" customHeight="1">
      <c r="A12" s="12" t="s">
        <v>197</v>
      </c>
      <c r="B12" s="12" t="s">
        <v>1052</v>
      </c>
      <c r="C12" s="12" t="s">
        <v>1053</v>
      </c>
      <c r="D12" s="12" t="s">
        <v>1028</v>
      </c>
      <c r="E12" s="12" t="s">
        <v>1054</v>
      </c>
      <c r="F12" s="12" t="s">
        <v>1030</v>
      </c>
      <c r="G12" s="12" t="s">
        <v>1055</v>
      </c>
      <c r="H12" s="13" t="str">
        <f>IF($A12="","",IF(COUNTIF('Catálogo'!$A$5:$A$201,$A12)=1,"Está en el catálogo","No está en el catálogo"))</f>
        <v>Está en el catálogo</v>
      </c>
    </row>
    <row r="13" ht="63.0" customHeight="1">
      <c r="A13" s="12" t="s">
        <v>240</v>
      </c>
      <c r="B13" s="12" t="s">
        <v>1056</v>
      </c>
      <c r="C13" s="12" t="s">
        <v>1057</v>
      </c>
      <c r="D13" s="12" t="s">
        <v>1022</v>
      </c>
      <c r="E13" s="12" t="s">
        <v>1058</v>
      </c>
      <c r="F13" s="12" t="s">
        <v>1030</v>
      </c>
      <c r="G13" s="12" t="s">
        <v>1059</v>
      </c>
      <c r="H13" s="13" t="str">
        <f>IF($A13="","",IF(COUNTIF('Catálogo'!$A$5:$A$201,$A13)=1,"Está en el catálogo","No está en el catálogo"))</f>
        <v>Está en el catálogo</v>
      </c>
    </row>
    <row r="14" ht="63.0" customHeight="1">
      <c r="A14" s="12" t="s">
        <v>217</v>
      </c>
      <c r="B14" s="12" t="s">
        <v>1060</v>
      </c>
      <c r="C14" s="12" t="s">
        <v>1061</v>
      </c>
      <c r="D14" s="12" t="s">
        <v>1022</v>
      </c>
      <c r="E14" s="12" t="s">
        <v>1062</v>
      </c>
      <c r="F14" s="12" t="s">
        <v>1024</v>
      </c>
      <c r="G14" s="12" t="s">
        <v>1063</v>
      </c>
      <c r="H14" s="13" t="str">
        <f>IF($A14="","",IF(COUNTIF('Catálogo'!$A$5:$A$201,$A14)=1,"Está en el catálogo","No está en el catálogo"))</f>
        <v>Está en el catálogo</v>
      </c>
    </row>
    <row r="15" ht="39.75" customHeight="1">
      <c r="A15" s="12" t="s">
        <v>236</v>
      </c>
      <c r="B15" s="12" t="s">
        <v>1064</v>
      </c>
      <c r="C15" s="12" t="s">
        <v>1065</v>
      </c>
      <c r="D15" s="12" t="s">
        <v>1066</v>
      </c>
      <c r="E15" s="12" t="s">
        <v>1067</v>
      </c>
      <c r="F15" s="12" t="s">
        <v>1030</v>
      </c>
      <c r="G15" s="12" t="s">
        <v>1068</v>
      </c>
      <c r="H15" s="13" t="str">
        <f>IF($A15="","",IF(COUNTIF('Catálogo'!$A$5:$A$201,$A15)=1,"Está en el catálogo","No está en el catálogo"))</f>
        <v>Está en el catálogo</v>
      </c>
    </row>
    <row r="16" ht="51.75" customHeight="1">
      <c r="A16" s="12" t="s">
        <v>247</v>
      </c>
      <c r="B16" s="12" t="s">
        <v>1069</v>
      </c>
      <c r="C16" s="12" t="s">
        <v>1070</v>
      </c>
      <c r="D16" s="12" t="s">
        <v>1022</v>
      </c>
      <c r="E16" s="12" t="s">
        <v>1071</v>
      </c>
      <c r="F16" s="12" t="s">
        <v>1024</v>
      </c>
      <c r="G16" s="12" t="s">
        <v>1072</v>
      </c>
      <c r="H16" s="13" t="str">
        <f>IF($A16="","",IF(COUNTIF('Catálogo'!$A$5:$A$201,$A16)=1,"Está en el catálogo","No está en el catálogo"))</f>
        <v>Está en el catálogo</v>
      </c>
    </row>
    <row r="17" ht="40.5" customHeight="1">
      <c r="A17" s="12" t="s">
        <v>103</v>
      </c>
      <c r="B17" s="12" t="s">
        <v>1073</v>
      </c>
      <c r="C17" s="12" t="s">
        <v>1074</v>
      </c>
      <c r="D17" s="12" t="s">
        <v>1066</v>
      </c>
      <c r="E17" s="12" t="s">
        <v>1075</v>
      </c>
      <c r="F17" s="12" t="s">
        <v>1030</v>
      </c>
      <c r="G17" s="12" t="s">
        <v>1076</v>
      </c>
      <c r="H17" s="13" t="str">
        <f>IF($A17="","",IF(COUNTIF('Catálogo'!$A$5:$A$201,$A17)=1,"Está en el catálogo","No está en el catálogo"))</f>
        <v>Está en el catálogo</v>
      </c>
    </row>
    <row r="18" ht="39.75" customHeight="1">
      <c r="A18" s="12" t="s">
        <v>226</v>
      </c>
      <c r="B18" s="12" t="s">
        <v>1077</v>
      </c>
      <c r="C18" s="12" t="s">
        <v>1078</v>
      </c>
      <c r="D18" s="12" t="s">
        <v>1066</v>
      </c>
      <c r="E18" s="12" t="s">
        <v>1079</v>
      </c>
      <c r="F18" s="12" t="s">
        <v>1030</v>
      </c>
      <c r="G18" s="12" t="s">
        <v>1080</v>
      </c>
      <c r="H18" s="13" t="str">
        <f>IF($A18="","",IF(COUNTIF('Catálogo'!$A$5:$A$201,$A18)=1,"Está en el catálogo","No está en el catálogo"))</f>
        <v>Está en el catálogo</v>
      </c>
    </row>
    <row r="19" ht="51.75" customHeight="1">
      <c r="A19" s="12" t="s">
        <v>297</v>
      </c>
      <c r="B19" s="12" t="s">
        <v>1081</v>
      </c>
      <c r="C19" s="12" t="s">
        <v>1082</v>
      </c>
      <c r="D19" s="12" t="s">
        <v>1022</v>
      </c>
      <c r="E19" s="12" t="s">
        <v>1083</v>
      </c>
      <c r="F19" s="12" t="s">
        <v>1030</v>
      </c>
      <c r="G19" s="12" t="s">
        <v>1084</v>
      </c>
      <c r="H19" s="13" t="str">
        <f>IF($A19="","",IF(COUNTIF('Catálogo'!$A$5:$A$201,$A19)=1,"Está en el catálogo","No está en el catálogo"))</f>
        <v>Está en el catálogo</v>
      </c>
    </row>
    <row r="20" ht="40.5" customHeight="1">
      <c r="A20" s="12" t="s">
        <v>308</v>
      </c>
      <c r="B20" s="12" t="s">
        <v>1085</v>
      </c>
      <c r="C20" s="12" t="s">
        <v>1086</v>
      </c>
      <c r="D20" s="12" t="s">
        <v>1022</v>
      </c>
      <c r="E20" s="12" t="s">
        <v>1074</v>
      </c>
      <c r="F20" s="12" t="s">
        <v>1087</v>
      </c>
      <c r="G20" s="12" t="s">
        <v>1074</v>
      </c>
      <c r="H20" s="13" t="str">
        <f>IF($A20="","",IF(COUNTIF('Catálogo'!$A$5:$A$201,$A20)=1,"Está en el catálogo","No está en el catálogo"))</f>
        <v>Está en el catálogo</v>
      </c>
    </row>
    <row r="21" ht="63.0" customHeight="1">
      <c r="A21" s="12" t="s">
        <v>317</v>
      </c>
      <c r="B21" s="12" t="s">
        <v>1088</v>
      </c>
      <c r="C21" s="12" t="s">
        <v>1089</v>
      </c>
      <c r="D21" s="12" t="s">
        <v>1028</v>
      </c>
      <c r="E21" s="12" t="s">
        <v>1090</v>
      </c>
      <c r="F21" s="12" t="s">
        <v>1030</v>
      </c>
      <c r="G21" s="12" t="s">
        <v>1091</v>
      </c>
      <c r="H21" s="13" t="str">
        <f>IF($A21="","",IF(COUNTIF('Catálogo'!$A$5:$A$201,$A21)=1,"Está en el catálogo","No está en el catálogo"))</f>
        <v>Está en el catálogo</v>
      </c>
    </row>
    <row r="22" ht="40.5" customHeight="1">
      <c r="A22" s="12" t="s">
        <v>324</v>
      </c>
      <c r="B22" s="12" t="s">
        <v>1092</v>
      </c>
      <c r="C22" s="12" t="s">
        <v>1093</v>
      </c>
      <c r="D22" s="12" t="s">
        <v>1022</v>
      </c>
      <c r="E22" s="12" t="s">
        <v>1094</v>
      </c>
      <c r="F22" s="12" t="s">
        <v>1087</v>
      </c>
      <c r="G22" s="12" t="s">
        <v>1074</v>
      </c>
      <c r="H22" s="13" t="str">
        <f>IF($A22="","",IF(COUNTIF('Catálogo'!$A$5:$A$201,$A22)=1,"Está en el catálogo","No está en el catálogo"))</f>
        <v>Está en el catálogo</v>
      </c>
    </row>
    <row r="23" ht="39.75" customHeight="1">
      <c r="A23" s="12" t="s">
        <v>335</v>
      </c>
      <c r="B23" s="12" t="s">
        <v>1095</v>
      </c>
      <c r="C23" s="12" t="s">
        <v>1096</v>
      </c>
      <c r="D23" s="12" t="s">
        <v>1028</v>
      </c>
      <c r="E23" s="12" t="s">
        <v>1097</v>
      </c>
      <c r="F23" s="12" t="s">
        <v>1030</v>
      </c>
      <c r="G23" s="12" t="s">
        <v>1098</v>
      </c>
      <c r="H23" s="13" t="str">
        <f>IF($A23="","",IF(COUNTIF('Catálogo'!$A$5:$A$201,$A23)=1,"Está en el catálogo","No está en el catálogo"))</f>
        <v>Está en el catálogo</v>
      </c>
    </row>
    <row r="24" ht="39.75" customHeight="1">
      <c r="A24" s="12" t="s">
        <v>342</v>
      </c>
      <c r="B24" s="12" t="s">
        <v>1099</v>
      </c>
      <c r="C24" s="12" t="s">
        <v>1100</v>
      </c>
      <c r="D24" s="12" t="s">
        <v>1028</v>
      </c>
      <c r="E24" s="12" t="s">
        <v>1101</v>
      </c>
      <c r="F24" s="12" t="s">
        <v>1024</v>
      </c>
      <c r="G24" s="12" t="s">
        <v>1102</v>
      </c>
      <c r="H24" s="13" t="str">
        <f>IF($A24="","",IF(COUNTIF('Catálogo'!$A$5:$A$201,$A24)=1,"Está en el catálogo","No está en el catálogo"))</f>
        <v>Está en el catálogo</v>
      </c>
    </row>
    <row r="25" ht="39.75" customHeight="1">
      <c r="A25" s="12" t="s">
        <v>350</v>
      </c>
      <c r="B25" s="12" t="s">
        <v>1103</v>
      </c>
      <c r="C25" s="12" t="s">
        <v>1104</v>
      </c>
      <c r="D25" s="12" t="s">
        <v>1022</v>
      </c>
      <c r="E25" s="12" t="s">
        <v>1105</v>
      </c>
      <c r="F25" s="12" t="s">
        <v>1024</v>
      </c>
      <c r="G25" s="12" t="s">
        <v>1106</v>
      </c>
      <c r="H25" s="13" t="str">
        <f>IF($A25="","",IF(COUNTIF('Catálogo'!$A$5:$A$201,$A25)=1,"Está en el catálogo","No está en el catálogo"))</f>
        <v>Está en el catálogo</v>
      </c>
    </row>
    <row r="26" ht="40.5" customHeight="1">
      <c r="A26" s="12" t="s">
        <v>357</v>
      </c>
      <c r="B26" s="12" t="s">
        <v>1107</v>
      </c>
      <c r="C26" s="12" t="s">
        <v>1074</v>
      </c>
      <c r="D26" s="12" t="s">
        <v>1066</v>
      </c>
      <c r="E26" s="12" t="s">
        <v>1108</v>
      </c>
      <c r="F26" s="12" t="s">
        <v>1030</v>
      </c>
      <c r="G26" s="12" t="s">
        <v>1109</v>
      </c>
      <c r="H26" s="13" t="str">
        <f>IF($A26="","",IF(COUNTIF('Catálogo'!$A$5:$A$201,$A26)=1,"Está en el catálogo","No está en el catálogo"))</f>
        <v>Está en el catálogo</v>
      </c>
    </row>
    <row r="27" ht="39.75" customHeight="1">
      <c r="A27" s="12" t="s">
        <v>364</v>
      </c>
      <c r="B27" s="12" t="s">
        <v>1110</v>
      </c>
      <c r="C27" s="12" t="s">
        <v>1111</v>
      </c>
      <c r="D27" s="12" t="s">
        <v>1028</v>
      </c>
      <c r="E27" s="12" t="s">
        <v>1112</v>
      </c>
      <c r="F27" s="12" t="s">
        <v>1030</v>
      </c>
      <c r="G27" s="12" t="s">
        <v>1113</v>
      </c>
      <c r="H27" s="13" t="str">
        <f>IF($A27="","",IF(COUNTIF('Catálogo'!$A$5:$A$201,$A27)=1,"Está en el catálogo","No está en el catálogo"))</f>
        <v>Está en el catálogo</v>
      </c>
    </row>
    <row r="28" ht="51.75" customHeight="1">
      <c r="A28" s="12" t="s">
        <v>368</v>
      </c>
      <c r="B28" s="12" t="s">
        <v>1114</v>
      </c>
      <c r="C28" s="12" t="s">
        <v>1115</v>
      </c>
      <c r="D28" s="12" t="s">
        <v>1028</v>
      </c>
      <c r="E28" s="12" t="s">
        <v>1116</v>
      </c>
      <c r="F28" s="12" t="s">
        <v>1030</v>
      </c>
      <c r="G28" s="12" t="s">
        <v>1118</v>
      </c>
      <c r="H28" s="13" t="str">
        <f>IF($A28="","",IF(COUNTIF('Catálogo'!$A$5:$A$201,$A28)=1,"Está en el catálogo","No está en el catálogo"))</f>
        <v>Está en el catálogo</v>
      </c>
    </row>
    <row r="29" ht="51.75" customHeight="1">
      <c r="A29" s="12" t="s">
        <v>373</v>
      </c>
      <c r="B29" s="12" t="s">
        <v>1124</v>
      </c>
      <c r="C29" s="12" t="s">
        <v>1125</v>
      </c>
      <c r="D29" s="12" t="s">
        <v>1028</v>
      </c>
      <c r="E29" s="12" t="s">
        <v>1127</v>
      </c>
      <c r="F29" s="12" t="s">
        <v>1030</v>
      </c>
      <c r="G29" s="12" t="s">
        <v>1130</v>
      </c>
      <c r="H29" s="13" t="str">
        <f>IF($A29="","",IF(COUNTIF('Catálogo'!$A$5:$A$201,$A29)=1,"Está en el catálogo","No está en el catálogo"))</f>
        <v>Está en el catálogo</v>
      </c>
    </row>
    <row r="30" ht="39.75" customHeight="1">
      <c r="A30" s="12" t="s">
        <v>377</v>
      </c>
      <c r="B30" s="12" t="s">
        <v>1144</v>
      </c>
      <c r="C30" s="12" t="s">
        <v>1074</v>
      </c>
      <c r="D30" s="12" t="s">
        <v>1066</v>
      </c>
      <c r="E30" s="12" t="s">
        <v>1147</v>
      </c>
      <c r="F30" s="12" t="s">
        <v>1030</v>
      </c>
      <c r="G30" s="12" t="s">
        <v>1150</v>
      </c>
      <c r="H30" s="13" t="str">
        <f>IF($A30="","",IF(COUNTIF('Catálogo'!$A$5:$A$201,$A30)=1,"Está en el catálogo","No está en el catálogo"))</f>
        <v>Está en el catálogo</v>
      </c>
    </row>
    <row r="31" ht="51.75" customHeight="1">
      <c r="A31" s="12" t="s">
        <v>381</v>
      </c>
      <c r="B31" s="12" t="s">
        <v>1167</v>
      </c>
      <c r="C31" s="12" t="s">
        <v>1170</v>
      </c>
      <c r="D31" s="12" t="s">
        <v>1028</v>
      </c>
      <c r="E31" s="12" t="s">
        <v>1175</v>
      </c>
      <c r="F31" s="12" t="s">
        <v>1030</v>
      </c>
      <c r="G31" s="12" t="s">
        <v>1180</v>
      </c>
      <c r="H31" s="13" t="str">
        <f>IF($A31="","",IF(COUNTIF('Catálogo'!$A$5:$A$201,$A31)=1,"Está en el catálogo","No está en el catálogo"))</f>
        <v>Está en el catálogo</v>
      </c>
    </row>
    <row r="32" ht="39.75" customHeight="1">
      <c r="A32" s="12" t="s">
        <v>387</v>
      </c>
      <c r="B32" s="12" t="s">
        <v>1183</v>
      </c>
      <c r="C32" s="12" t="s">
        <v>1184</v>
      </c>
      <c r="D32" s="12" t="s">
        <v>1028</v>
      </c>
      <c r="E32" s="12" t="s">
        <v>1185</v>
      </c>
      <c r="F32" s="12" t="s">
        <v>1030</v>
      </c>
      <c r="G32" s="12" t="s">
        <v>1186</v>
      </c>
      <c r="H32" s="13" t="str">
        <f>IF($A32="","",IF(COUNTIF('Catálogo'!$A$5:$A$201,$A32)=1,"Está en el catálogo","No está en el catálogo"))</f>
        <v>Está en el catálogo</v>
      </c>
    </row>
    <row r="33" ht="51.75" customHeight="1">
      <c r="A33" s="12" t="s">
        <v>395</v>
      </c>
      <c r="B33" s="12" t="s">
        <v>1187</v>
      </c>
      <c r="C33" s="12" t="s">
        <v>1188</v>
      </c>
      <c r="D33" s="12" t="s">
        <v>1028</v>
      </c>
      <c r="E33" s="12" t="s">
        <v>1189</v>
      </c>
      <c r="F33" s="12" t="s">
        <v>1030</v>
      </c>
      <c r="G33" s="12" t="s">
        <v>1190</v>
      </c>
      <c r="H33" s="13" t="str">
        <f>IF($A33="","",IF(COUNTIF('Catálogo'!$A$5:$A$201,$A33)=1,"Está en el catálogo","No está en el catálogo"))</f>
        <v>Está en el catálogo</v>
      </c>
    </row>
    <row r="34" ht="40.5" customHeight="1">
      <c r="A34" s="12" t="s">
        <v>404</v>
      </c>
      <c r="B34" s="12" t="s">
        <v>1191</v>
      </c>
      <c r="C34" s="12" t="s">
        <v>1074</v>
      </c>
      <c r="D34" s="12" t="s">
        <v>1066</v>
      </c>
      <c r="E34" s="12" t="s">
        <v>1192</v>
      </c>
      <c r="F34" s="12" t="s">
        <v>1030</v>
      </c>
      <c r="G34" s="12" t="s">
        <v>1193</v>
      </c>
      <c r="H34" s="13" t="str">
        <f>IF($A34="","",IF(COUNTIF('Catálogo'!$A$5:$A$201,$A34)=1,"Está en el catálogo","No está en el catálogo"))</f>
        <v>Está en el catálogo</v>
      </c>
    </row>
    <row r="35" ht="39.75" customHeight="1">
      <c r="A35" s="12" t="s">
        <v>412</v>
      </c>
      <c r="B35" s="12" t="s">
        <v>1194</v>
      </c>
      <c r="C35" s="12" t="s">
        <v>1195</v>
      </c>
      <c r="D35" s="12" t="s">
        <v>1028</v>
      </c>
      <c r="E35" s="12" t="s">
        <v>1196</v>
      </c>
      <c r="F35" s="12" t="s">
        <v>1030</v>
      </c>
      <c r="G35" s="12" t="s">
        <v>1197</v>
      </c>
      <c r="H35" s="13" t="str">
        <f>IF($A35="","",IF(COUNTIF('Catálogo'!$A$5:$A$201,$A35)=1,"Está en el catálogo","No está en el catálogo"))</f>
        <v>Está en el catálogo</v>
      </c>
    </row>
    <row r="36" ht="51.75" customHeight="1">
      <c r="A36" s="12" t="s">
        <v>420</v>
      </c>
      <c r="B36" s="12" t="s">
        <v>1198</v>
      </c>
      <c r="C36" s="12" t="s">
        <v>1199</v>
      </c>
      <c r="D36" s="12" t="s">
        <v>1028</v>
      </c>
      <c r="E36" s="12" t="s">
        <v>1200</v>
      </c>
      <c r="F36" s="12" t="s">
        <v>1024</v>
      </c>
      <c r="G36" s="12" t="s">
        <v>1106</v>
      </c>
      <c r="H36" s="13" t="str">
        <f>IF($A36="","",IF(COUNTIF('Catálogo'!$A$5:$A$201,$A36)=1,"Está en el catálogo","No está en el catálogo"))</f>
        <v>Está en el catálogo</v>
      </c>
    </row>
    <row r="37" ht="40.5" customHeight="1">
      <c r="A37" s="12" t="s">
        <v>428</v>
      </c>
      <c r="B37" s="12" t="s">
        <v>1201</v>
      </c>
      <c r="C37" s="12" t="s">
        <v>1074</v>
      </c>
      <c r="D37" s="12" t="s">
        <v>1066</v>
      </c>
      <c r="E37" s="12" t="s">
        <v>1202</v>
      </c>
      <c r="F37" s="12" t="s">
        <v>1030</v>
      </c>
      <c r="G37" s="12" t="s">
        <v>1203</v>
      </c>
      <c r="H37" s="13" t="str">
        <f>IF($A37="","",IF(COUNTIF('Catálogo'!$A$5:$A$201,$A37)=1,"Está en el catálogo","No está en el catálogo"))</f>
        <v>Está en el catálogo</v>
      </c>
    </row>
    <row r="38" ht="40.5" customHeight="1">
      <c r="A38" s="12" t="s">
        <v>434</v>
      </c>
      <c r="B38" s="12" t="s">
        <v>1204</v>
      </c>
      <c r="C38" s="12" t="s">
        <v>1205</v>
      </c>
      <c r="D38" s="12" t="s">
        <v>1028</v>
      </c>
      <c r="E38" s="12" t="s">
        <v>1206</v>
      </c>
      <c r="F38" s="12" t="s">
        <v>1030</v>
      </c>
      <c r="G38" s="12" t="s">
        <v>1207</v>
      </c>
      <c r="H38" s="13" t="str">
        <f>IF($A38="","",IF(COUNTIF('Catálogo'!$A$5:$A$201,$A38)=1,"Está en el catálogo","No está en el catálogo"))</f>
        <v>Está en el catálogo</v>
      </c>
    </row>
    <row r="39" ht="39.75" customHeight="1">
      <c r="A39" s="12" t="s">
        <v>442</v>
      </c>
      <c r="B39" s="12" t="s">
        <v>1208</v>
      </c>
      <c r="C39" s="12" t="s">
        <v>1209</v>
      </c>
      <c r="D39" s="12" t="s">
        <v>1066</v>
      </c>
      <c r="E39" s="12" t="s">
        <v>1210</v>
      </c>
      <c r="F39" s="12" t="s">
        <v>1030</v>
      </c>
      <c r="G39" s="12" t="s">
        <v>1211</v>
      </c>
      <c r="H39" s="13" t="str">
        <f>IF($A39="","",IF(COUNTIF('Catálogo'!$A$5:$A$201,$A39)=1,"Está en el catálogo","No está en el catálogo"))</f>
        <v>Está en el catálogo</v>
      </c>
    </row>
    <row r="40" ht="39.75" customHeight="1">
      <c r="A40" s="12" t="s">
        <v>450</v>
      </c>
      <c r="B40" s="12" t="s">
        <v>1212</v>
      </c>
      <c r="C40" s="12" t="s">
        <v>1213</v>
      </c>
      <c r="D40" s="12" t="s">
        <v>1028</v>
      </c>
      <c r="E40" s="12" t="s">
        <v>1214</v>
      </c>
      <c r="F40" s="12" t="s">
        <v>1030</v>
      </c>
      <c r="G40" s="12" t="s">
        <v>1215</v>
      </c>
      <c r="H40" s="13" t="str">
        <f>IF($A40="","",IF(COUNTIF('Catálogo'!$A$5:$A$201,$A40)=1,"Está en el catálogo","No está en el catálogo"))</f>
        <v>Está en el catálogo</v>
      </c>
    </row>
    <row r="41" ht="40.5" customHeight="1">
      <c r="A41" s="12" t="s">
        <v>458</v>
      </c>
      <c r="B41" s="12" t="s">
        <v>1216</v>
      </c>
      <c r="C41" s="12" t="s">
        <v>1217</v>
      </c>
      <c r="D41" s="12" t="s">
        <v>1028</v>
      </c>
      <c r="E41" s="12" t="s">
        <v>1218</v>
      </c>
      <c r="F41" s="12" t="s">
        <v>1030</v>
      </c>
      <c r="G41" s="12" t="s">
        <v>1113</v>
      </c>
      <c r="H41" s="13" t="str">
        <f>IF($A41="","",IF(COUNTIF('Catálogo'!$A$5:$A$201,$A41)=1,"Está en el catálogo","No está en el catálogo"))</f>
        <v>Está en el catálogo</v>
      </c>
    </row>
    <row r="42" ht="39.75" customHeight="1">
      <c r="A42" s="12" t="s">
        <v>464</v>
      </c>
      <c r="B42" s="12" t="s">
        <v>1219</v>
      </c>
      <c r="C42" s="12" t="s">
        <v>1074</v>
      </c>
      <c r="D42" s="12" t="s">
        <v>1066</v>
      </c>
      <c r="E42" s="12" t="s">
        <v>1220</v>
      </c>
      <c r="F42" s="12" t="s">
        <v>1024</v>
      </c>
      <c r="G42" s="12" t="s">
        <v>1221</v>
      </c>
      <c r="H42" s="13" t="str">
        <f>IF($A42="","",IF(COUNTIF('Catálogo'!$A$5:$A$201,$A42)=1,"Está en el catálogo","No está en el catálogo"))</f>
        <v>Está en el catálogo</v>
      </c>
    </row>
    <row r="43" ht="39.75" customHeight="1">
      <c r="A43" s="12" t="s">
        <v>468</v>
      </c>
      <c r="B43" s="12" t="s">
        <v>1222</v>
      </c>
      <c r="C43" s="12" t="s">
        <v>1074</v>
      </c>
      <c r="D43" s="12" t="s">
        <v>1066</v>
      </c>
      <c r="E43" s="12" t="s">
        <v>1223</v>
      </c>
      <c r="F43" s="12" t="s">
        <v>1030</v>
      </c>
      <c r="G43" s="12" t="s">
        <v>1224</v>
      </c>
      <c r="H43" s="13" t="str">
        <f>IF($A43="","",IF(COUNTIF('Catálogo'!$A$5:$A$201,$A43)=1,"Está en el catálogo","No está en el catálogo"))</f>
        <v>Está en el catálogo</v>
      </c>
    </row>
    <row r="44" ht="40.5" customHeight="1">
      <c r="A44" s="12" t="s">
        <v>472</v>
      </c>
      <c r="B44" s="12" t="s">
        <v>1225</v>
      </c>
      <c r="C44" s="12" t="s">
        <v>1226</v>
      </c>
      <c r="D44" s="12" t="s">
        <v>1022</v>
      </c>
      <c r="E44" s="12" t="s">
        <v>1227</v>
      </c>
      <c r="F44" s="12" t="s">
        <v>1024</v>
      </c>
      <c r="G44" s="12" t="s">
        <v>1228</v>
      </c>
      <c r="H44" s="13" t="str">
        <f>IF($A44="","",IF(COUNTIF('Catálogo'!$A$5:$A$201,$A44)=1,"Está en el catálogo","No está en el catálogo"))</f>
        <v>Está en el catálogo</v>
      </c>
    </row>
    <row r="45" ht="51.75" customHeight="1">
      <c r="A45" s="12" t="s">
        <v>477</v>
      </c>
      <c r="B45" s="12" t="s">
        <v>1229</v>
      </c>
      <c r="C45" s="12" t="s">
        <v>1230</v>
      </c>
      <c r="D45" s="12" t="s">
        <v>1022</v>
      </c>
      <c r="E45" s="12" t="s">
        <v>1231</v>
      </c>
      <c r="F45" s="12" t="s">
        <v>1030</v>
      </c>
      <c r="G45" s="12" t="s">
        <v>1232</v>
      </c>
      <c r="H45" s="13" t="str">
        <f>IF($A45="","",IF(COUNTIF('Catálogo'!$A$5:$A$201,$A45)=1,"Está en el catálogo","No está en el catálogo"))</f>
        <v>Está en el catálogo</v>
      </c>
    </row>
    <row r="46" ht="39.75" customHeight="1">
      <c r="A46" s="12" t="s">
        <v>482</v>
      </c>
      <c r="B46" s="12" t="s">
        <v>1233</v>
      </c>
      <c r="C46" s="12" t="s">
        <v>1234</v>
      </c>
      <c r="D46" s="12" t="s">
        <v>1022</v>
      </c>
      <c r="E46" s="12" t="s">
        <v>1094</v>
      </c>
      <c r="F46" s="12" t="s">
        <v>1087</v>
      </c>
      <c r="G46" s="12" t="s">
        <v>1074</v>
      </c>
      <c r="H46" s="13" t="str">
        <f>IF($A46="","",IF(COUNTIF('Catálogo'!$A$5:$A$201,$A46)=1,"Está en el catálogo","No está en el catálogo"))</f>
        <v>Está en el catálogo</v>
      </c>
    </row>
    <row r="47" ht="40.5" customHeight="1">
      <c r="A47" s="12" t="s">
        <v>488</v>
      </c>
      <c r="B47" s="12" t="s">
        <v>1235</v>
      </c>
      <c r="C47" s="12" t="s">
        <v>1236</v>
      </c>
      <c r="D47" s="12" t="s">
        <v>1028</v>
      </c>
      <c r="E47" s="12" t="s">
        <v>1237</v>
      </c>
      <c r="F47" s="12" t="s">
        <v>1030</v>
      </c>
      <c r="G47" s="12" t="s">
        <v>1238</v>
      </c>
      <c r="H47" s="13" t="str">
        <f>IF($A47="","",IF(COUNTIF('Catálogo'!$A$5:$A$201,$A47)=1,"Está en el catálogo","No está en el catálogo"))</f>
        <v>Está en el catálogo</v>
      </c>
    </row>
    <row r="48" ht="39.75" customHeight="1">
      <c r="A48" s="12" t="s">
        <v>493</v>
      </c>
      <c r="B48" s="12" t="s">
        <v>1239</v>
      </c>
      <c r="C48" s="12" t="s">
        <v>1240</v>
      </c>
      <c r="D48" s="12" t="s">
        <v>1022</v>
      </c>
      <c r="E48" s="12" t="s">
        <v>1241</v>
      </c>
      <c r="F48" s="12" t="s">
        <v>1030</v>
      </c>
      <c r="G48" s="12" t="s">
        <v>1242</v>
      </c>
      <c r="H48" s="13" t="str">
        <f>IF($A48="","",IF(COUNTIF('Catálogo'!$A$5:$A$201,$A48)=1,"Está en el catálogo","No está en el catálogo"))</f>
        <v>Está en el catálogo</v>
      </c>
    </row>
    <row r="49" ht="15.75" customHeight="1">
      <c r="D49" s="101"/>
      <c r="F49" s="101"/>
    </row>
    <row r="50" ht="15.75" customHeight="1">
      <c r="D50" s="101"/>
      <c r="F50" s="101"/>
    </row>
    <row r="51" ht="15.75" customHeight="1">
      <c r="D51" s="101"/>
      <c r="F51" s="101"/>
    </row>
    <row r="52" ht="15.75" customHeight="1">
      <c r="D52" s="101"/>
      <c r="F52" s="101"/>
    </row>
    <row r="53" ht="15.75" customHeight="1">
      <c r="D53" s="101"/>
      <c r="F53" s="101"/>
    </row>
    <row r="54" ht="15.75" customHeight="1">
      <c r="D54" s="101"/>
      <c r="F54" s="101"/>
    </row>
    <row r="55" ht="15.75" customHeight="1">
      <c r="D55" s="101"/>
      <c r="F55" s="101"/>
    </row>
    <row r="56" ht="15.75" customHeight="1">
      <c r="D56" s="101"/>
      <c r="F56" s="101"/>
    </row>
    <row r="57" ht="15.75" customHeight="1">
      <c r="D57" s="101"/>
      <c r="F57" s="101"/>
    </row>
    <row r="58" ht="15.75" customHeight="1">
      <c r="D58" s="101"/>
      <c r="F58" s="101"/>
    </row>
    <row r="59" ht="15.75" customHeight="1">
      <c r="D59" s="101"/>
      <c r="F59" s="101"/>
    </row>
    <row r="60" ht="15.75" customHeight="1">
      <c r="D60" s="101"/>
      <c r="F60" s="101"/>
    </row>
    <row r="61" ht="15.75" customHeight="1">
      <c r="D61" s="101"/>
      <c r="F61" s="101"/>
    </row>
    <row r="62" ht="15.75" customHeight="1">
      <c r="D62" s="101"/>
      <c r="F62" s="101"/>
    </row>
    <row r="63" ht="15.75" customHeight="1">
      <c r="D63" s="101"/>
      <c r="F63" s="101"/>
    </row>
    <row r="64" ht="15.75" customHeight="1">
      <c r="D64" s="101"/>
      <c r="F64" s="101"/>
    </row>
    <row r="65" ht="15.75" customHeight="1">
      <c r="D65" s="101"/>
      <c r="F65" s="101"/>
    </row>
    <row r="66" ht="15.75" customHeight="1">
      <c r="D66" s="101"/>
      <c r="F66" s="101"/>
    </row>
    <row r="67" ht="15.75" customHeight="1">
      <c r="D67" s="101"/>
      <c r="F67" s="101"/>
    </row>
    <row r="68" ht="15.75" customHeight="1">
      <c r="D68" s="101"/>
      <c r="F68" s="101"/>
    </row>
    <row r="69" ht="15.75" customHeight="1">
      <c r="D69" s="101"/>
      <c r="F69" s="101"/>
    </row>
    <row r="70" ht="15.75" customHeight="1">
      <c r="D70" s="101"/>
      <c r="F70" s="101"/>
    </row>
    <row r="71" ht="15.75" customHeight="1">
      <c r="D71" s="101"/>
      <c r="F71" s="101"/>
    </row>
    <row r="72" ht="15.75" customHeight="1">
      <c r="D72" s="101"/>
      <c r="F72" s="101"/>
    </row>
    <row r="73" ht="15.75" customHeight="1">
      <c r="D73" s="101"/>
      <c r="F73" s="101"/>
    </row>
    <row r="74" ht="15.75" customHeight="1">
      <c r="D74" s="101"/>
      <c r="F74" s="101"/>
    </row>
    <row r="75" ht="15.75" customHeight="1">
      <c r="D75" s="101"/>
      <c r="F75" s="101"/>
    </row>
    <row r="76" ht="15.75" customHeight="1">
      <c r="D76" s="101"/>
      <c r="F76" s="101"/>
    </row>
    <row r="77" ht="15.75" customHeight="1">
      <c r="D77" s="101"/>
      <c r="F77" s="101"/>
    </row>
    <row r="78" ht="15.75" customHeight="1">
      <c r="D78" s="101"/>
      <c r="F78" s="101"/>
    </row>
    <row r="79" ht="15.75" customHeight="1">
      <c r="D79" s="101"/>
      <c r="F79" s="101"/>
    </row>
    <row r="80" ht="15.75" customHeight="1">
      <c r="D80" s="101"/>
      <c r="F80" s="101"/>
    </row>
    <row r="81" ht="15.75" customHeight="1">
      <c r="D81" s="101"/>
      <c r="F81" s="101"/>
    </row>
    <row r="82" ht="15.75" customHeight="1">
      <c r="D82" s="101"/>
      <c r="F82" s="101"/>
    </row>
    <row r="83" ht="15.75" customHeight="1">
      <c r="D83" s="101"/>
      <c r="F83" s="101"/>
    </row>
    <row r="84" ht="15.75" customHeight="1">
      <c r="D84" s="101"/>
      <c r="F84" s="101"/>
    </row>
    <row r="85" ht="15.75" customHeight="1">
      <c r="D85" s="101"/>
      <c r="F85" s="101"/>
    </row>
    <row r="86" ht="15.75" customHeight="1">
      <c r="D86" s="101"/>
      <c r="F86" s="101"/>
    </row>
    <row r="87" ht="15.75" customHeight="1">
      <c r="D87" s="101"/>
      <c r="F87" s="101"/>
    </row>
    <row r="88" ht="15.75" customHeight="1">
      <c r="D88" s="101"/>
      <c r="F88" s="101"/>
    </row>
    <row r="89" ht="15.75" customHeight="1">
      <c r="D89" s="101"/>
      <c r="F89" s="101"/>
    </row>
    <row r="90" ht="15.75" customHeight="1">
      <c r="D90" s="101"/>
      <c r="F90" s="101"/>
    </row>
    <row r="91" ht="15.75" customHeight="1">
      <c r="D91" s="101"/>
      <c r="F91" s="101"/>
    </row>
    <row r="92" ht="15.75" customHeight="1">
      <c r="D92" s="101"/>
      <c r="F92" s="101"/>
    </row>
    <row r="93" ht="15.75" customHeight="1">
      <c r="D93" s="101"/>
      <c r="F93" s="101"/>
    </row>
    <row r="94" ht="15.75" customHeight="1">
      <c r="D94" s="101"/>
      <c r="F94" s="101"/>
    </row>
    <row r="95" ht="15.75" customHeight="1">
      <c r="D95" s="101"/>
      <c r="F95" s="101"/>
    </row>
    <row r="96" ht="15.75" customHeight="1">
      <c r="D96" s="101"/>
      <c r="F96" s="101"/>
    </row>
    <row r="97" ht="15.75" customHeight="1">
      <c r="D97" s="101"/>
      <c r="F97" s="101"/>
    </row>
    <row r="98" ht="15.75" customHeight="1">
      <c r="D98" s="101"/>
      <c r="F98" s="101"/>
    </row>
    <row r="99" ht="15.75" customHeight="1">
      <c r="D99" s="101"/>
      <c r="F99" s="101"/>
    </row>
    <row r="100" ht="15.75" customHeight="1">
      <c r="D100" s="101"/>
      <c r="F100" s="10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dataValidations>
    <dataValidation type="list" allowBlank="1" sqref="D5:D100">
      <formula1>"Con prueba,Parcial,Sin prueba"</formula1>
    </dataValidation>
    <dataValidation type="list" allowBlank="1" sqref="F5:F100">
      <formula1>"Sin brecha,Abierta,Aceptada y declarada,Cerrada"</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0"/>
    <col customWidth="1" min="2" max="2" width="70.0"/>
    <col customWidth="1" min="3" max="3" width="38.0"/>
    <col customWidth="1" min="4" max="4" width="70.0"/>
    <col customWidth="1" min="5" max="26" width="8.71"/>
  </cols>
  <sheetData>
    <row r="1" ht="19.5" customHeight="1">
      <c r="A1" s="2" t="s">
        <v>1117</v>
      </c>
    </row>
    <row r="2" ht="30.0" customHeight="1">
      <c r="A2" s="5" t="s">
        <v>1119</v>
      </c>
    </row>
    <row r="4" ht="40.5" customHeight="1">
      <c r="A4" s="7" t="s">
        <v>1120</v>
      </c>
      <c r="B4" s="7" t="s">
        <v>1121</v>
      </c>
      <c r="C4" s="7" t="s">
        <v>1122</v>
      </c>
      <c r="D4" s="7" t="s">
        <v>1123</v>
      </c>
    </row>
    <row r="5" ht="39.75" customHeight="1">
      <c r="A5" s="12" t="s">
        <v>1126</v>
      </c>
      <c r="B5" s="12" t="s">
        <v>1128</v>
      </c>
      <c r="C5" s="12" t="s">
        <v>1129</v>
      </c>
      <c r="D5" s="12" t="s">
        <v>1131</v>
      </c>
    </row>
    <row r="6" ht="40.5" customHeight="1">
      <c r="A6" s="12" t="s">
        <v>1132</v>
      </c>
      <c r="B6" s="12" t="s">
        <v>1133</v>
      </c>
      <c r="C6" s="12" t="s">
        <v>1134</v>
      </c>
      <c r="D6" s="12" t="s">
        <v>1135</v>
      </c>
    </row>
    <row r="7" ht="39.75" customHeight="1">
      <c r="A7" s="12" t="s">
        <v>1136</v>
      </c>
      <c r="B7" s="12" t="s">
        <v>1137</v>
      </c>
      <c r="C7" s="12" t="s">
        <v>1138</v>
      </c>
      <c r="D7" s="12" t="s">
        <v>1139</v>
      </c>
    </row>
    <row r="8" ht="39.75" customHeight="1">
      <c r="A8" s="12" t="s">
        <v>1140</v>
      </c>
      <c r="B8" s="12" t="s">
        <v>1141</v>
      </c>
      <c r="C8" s="12" t="s">
        <v>1138</v>
      </c>
      <c r="D8" s="12" t="s">
        <v>1142</v>
      </c>
    </row>
    <row r="9" ht="39.75" customHeight="1">
      <c r="A9" s="12" t="s">
        <v>1143</v>
      </c>
      <c r="B9" s="12" t="s">
        <v>1145</v>
      </c>
      <c r="C9" s="12" t="s">
        <v>1138</v>
      </c>
      <c r="D9" s="12" t="s">
        <v>1146</v>
      </c>
    </row>
    <row r="10" ht="39.75" customHeight="1">
      <c r="A10" s="12" t="s">
        <v>1148</v>
      </c>
      <c r="B10" s="12" t="s">
        <v>1149</v>
      </c>
      <c r="C10" s="12" t="s">
        <v>1151</v>
      </c>
      <c r="D10" s="12" t="s">
        <v>1074</v>
      </c>
    </row>
    <row r="11" ht="39.75" customHeight="1">
      <c r="A11" s="12" t="s">
        <v>1152</v>
      </c>
      <c r="B11" s="12" t="s">
        <v>1153</v>
      </c>
      <c r="C11" s="12" t="s">
        <v>1154</v>
      </c>
      <c r="D11" s="12" t="s">
        <v>1155</v>
      </c>
    </row>
    <row r="12" ht="39.75" customHeight="1">
      <c r="A12" s="12" t="s">
        <v>1156</v>
      </c>
      <c r="B12" s="12" t="s">
        <v>1157</v>
      </c>
      <c r="C12" s="12" t="s">
        <v>1158</v>
      </c>
      <c r="D12" s="12" t="s">
        <v>1159</v>
      </c>
    </row>
    <row r="13" ht="39.75" customHeight="1">
      <c r="A13" s="12" t="s">
        <v>1160</v>
      </c>
      <c r="B13" s="12" t="s">
        <v>1161</v>
      </c>
      <c r="C13" s="12" t="s">
        <v>1162</v>
      </c>
      <c r="D13" s="12" t="s">
        <v>1163</v>
      </c>
    </row>
    <row r="14" ht="40.5" customHeight="1">
      <c r="A14" s="12" t="s">
        <v>1164</v>
      </c>
      <c r="B14" s="12" t="s">
        <v>1165</v>
      </c>
      <c r="C14" s="12" t="s">
        <v>1134</v>
      </c>
      <c r="D14" s="12" t="s">
        <v>1166</v>
      </c>
    </row>
    <row r="15" ht="39.75" customHeight="1">
      <c r="A15" s="12" t="s">
        <v>1168</v>
      </c>
      <c r="B15" s="12" t="s">
        <v>1169</v>
      </c>
      <c r="C15" s="12" t="s">
        <v>1171</v>
      </c>
      <c r="D15" s="12" t="s">
        <v>1172</v>
      </c>
    </row>
    <row r="16" ht="39.75" customHeight="1">
      <c r="A16" s="12" t="s">
        <v>1173</v>
      </c>
      <c r="B16" s="12" t="s">
        <v>1174</v>
      </c>
      <c r="C16" s="12" t="s">
        <v>1176</v>
      </c>
      <c r="D16" s="12" t="s">
        <v>1177</v>
      </c>
    </row>
    <row r="17" ht="39.75" customHeight="1">
      <c r="A17" s="12" t="s">
        <v>1178</v>
      </c>
      <c r="B17" s="12" t="s">
        <v>1179</v>
      </c>
      <c r="C17" s="12" t="s">
        <v>1181</v>
      </c>
      <c r="D17" s="12" t="s">
        <v>1182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110.0"/>
    <col customWidth="1" min="3" max="3" width="70.0"/>
    <col customWidth="1" min="4" max="26" width="8.71"/>
  </cols>
  <sheetData>
    <row r="1" ht="19.5" customHeight="1">
      <c r="A1" s="2" t="s">
        <v>1243</v>
      </c>
    </row>
    <row r="2" ht="30.0" customHeight="1">
      <c r="A2" s="5" t="s">
        <v>1244</v>
      </c>
    </row>
    <row r="4" ht="40.5" customHeight="1">
      <c r="A4" s="7" t="s">
        <v>1245</v>
      </c>
      <c r="B4" s="7" t="s">
        <v>1246</v>
      </c>
      <c r="C4" s="7" t="s">
        <v>1247</v>
      </c>
    </row>
    <row r="5" ht="39.75" customHeight="1">
      <c r="A5" s="12" t="s">
        <v>1248</v>
      </c>
      <c r="B5" s="12" t="s">
        <v>1249</v>
      </c>
      <c r="C5" s="12" t="s">
        <v>1250</v>
      </c>
    </row>
    <row r="6" ht="39.75" customHeight="1">
      <c r="A6" s="12" t="s">
        <v>1248</v>
      </c>
      <c r="B6" s="12" t="s">
        <v>1251</v>
      </c>
      <c r="C6" s="12" t="s">
        <v>1252</v>
      </c>
    </row>
    <row r="7" ht="39.75" customHeight="1">
      <c r="A7" s="12" t="s">
        <v>1248</v>
      </c>
      <c r="B7" s="12" t="s">
        <v>1253</v>
      </c>
      <c r="C7" s="12" t="s">
        <v>1254</v>
      </c>
    </row>
    <row r="8" ht="39.75" customHeight="1">
      <c r="A8" s="12" t="s">
        <v>1248</v>
      </c>
      <c r="B8" s="12" t="s">
        <v>1255</v>
      </c>
      <c r="C8" s="12" t="s">
        <v>1256</v>
      </c>
    </row>
    <row r="9" ht="39.75" customHeight="1">
      <c r="A9" s="12" t="s">
        <v>1248</v>
      </c>
      <c r="B9" s="12" t="s">
        <v>1257</v>
      </c>
      <c r="C9" s="12" t="s">
        <v>1258</v>
      </c>
    </row>
    <row r="10" ht="39.75" customHeight="1">
      <c r="A10" s="12" t="s">
        <v>1248</v>
      </c>
      <c r="B10" s="12" t="s">
        <v>1259</v>
      </c>
      <c r="C10" s="12" t="s">
        <v>1260</v>
      </c>
    </row>
    <row r="11" ht="39.75" customHeight="1">
      <c r="A11" s="12" t="s">
        <v>1248</v>
      </c>
      <c r="B11" s="12" t="s">
        <v>1261</v>
      </c>
      <c r="C11" s="12" t="s">
        <v>1262</v>
      </c>
    </row>
    <row r="12" ht="39.75" customHeight="1">
      <c r="A12" s="12" t="s">
        <v>1248</v>
      </c>
      <c r="B12" s="12" t="s">
        <v>1263</v>
      </c>
      <c r="C12" s="12" t="s">
        <v>1264</v>
      </c>
    </row>
    <row r="13" ht="39.75" customHeight="1">
      <c r="A13" s="12" t="s">
        <v>1248</v>
      </c>
      <c r="B13" s="12" t="s">
        <v>1265</v>
      </c>
      <c r="C13" s="12" t="s">
        <v>1266</v>
      </c>
    </row>
    <row r="14" ht="39.75" customHeight="1">
      <c r="A14" s="12" t="s">
        <v>1267</v>
      </c>
      <c r="B14" s="12" t="s">
        <v>1268</v>
      </c>
      <c r="C14" s="12" t="s">
        <v>1269</v>
      </c>
    </row>
    <row r="15" ht="39.75" customHeight="1">
      <c r="A15" s="12" t="s">
        <v>1270</v>
      </c>
      <c r="B15" s="12" t="s">
        <v>1271</v>
      </c>
      <c r="C15" s="12" t="s">
        <v>1272</v>
      </c>
    </row>
    <row r="16" ht="39.75" customHeight="1">
      <c r="A16" s="12" t="s">
        <v>1273</v>
      </c>
      <c r="B16" s="12" t="s">
        <v>1274</v>
      </c>
      <c r="C16" s="12" t="s">
        <v>1275</v>
      </c>
    </row>
    <row r="17" ht="39.75" customHeight="1">
      <c r="A17" s="12" t="s">
        <v>1276</v>
      </c>
      <c r="B17" s="12" t="s">
        <v>1277</v>
      </c>
      <c r="C17" s="12" t="s">
        <v>1278</v>
      </c>
    </row>
    <row r="18" ht="39.75" customHeight="1">
      <c r="A18" s="12" t="s">
        <v>1279</v>
      </c>
      <c r="B18" s="12" t="s">
        <v>1280</v>
      </c>
      <c r="C18" s="12" t="s">
        <v>1281</v>
      </c>
    </row>
    <row r="19" ht="39.75" customHeight="1">
      <c r="A19" s="12" t="s">
        <v>1282</v>
      </c>
      <c r="B19" s="12" t="s">
        <v>1283</v>
      </c>
      <c r="C19" s="12" t="s">
        <v>1284</v>
      </c>
    </row>
    <row r="20" ht="39.75" customHeight="1">
      <c r="A20" s="12" t="s">
        <v>1285</v>
      </c>
      <c r="B20" s="12" t="s">
        <v>1286</v>
      </c>
      <c r="C20" s="12" t="s">
        <v>1287</v>
      </c>
    </row>
    <row r="21" ht="39.75" customHeight="1">
      <c r="A21" s="12" t="s">
        <v>1288</v>
      </c>
      <c r="B21" s="12" t="s">
        <v>1289</v>
      </c>
      <c r="C21" s="12" t="s">
        <v>1290</v>
      </c>
    </row>
    <row r="22" ht="39.75" customHeight="1">
      <c r="A22" s="12" t="s">
        <v>1291</v>
      </c>
      <c r="B22" s="12" t="s">
        <v>1292</v>
      </c>
      <c r="C22" s="12" t="s">
        <v>1293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1.0" footer="0.0" header="0.0" left="0.75" right="0.75" top="1.0"/>
  <pageSetup paperSize="9" orientation="portrait"/>
  <drawing r:id="rId1"/>
</worksheet>
</file>