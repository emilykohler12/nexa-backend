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5"/>
    <sheet state="visible" name="Catálogo" sheetId="2" r:id="rId6"/>
    <sheet state="visible" name="Trazabilidad" sheetId="3" r:id="rId7"/>
    <sheet state="visible" name="Entidades" sheetId="4" r:id="rId8"/>
    <sheet state="visible" name="Reglas" sheetId="5" r:id="rId9"/>
    <sheet state="visible" name="Límites" sheetId="6" r:id="rId10"/>
    <sheet state="visible" name="Glosario" sheetId="7" r:id="rId11"/>
    <sheet state="visible" name="Reuniones y datos" sheetId="8" r:id="rId12"/>
    <sheet state="visible" name="Iteraciones" sheetId="9" r:id="rId13"/>
    <sheet state="visible" name="Recursos" sheetId="10" r:id="rId14"/>
    <sheet state="visible" name="Panel"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El conjunto de los requisitos «Must» debe coincidir exactamente con el producto mínimo viable descrito en el apartado V.5.</t>
      </text>
    </comment>
    <comment authorId="0" ref="G4">
      <text>
        <t xml:space="preserve">Condición inicial, acción y resultado observable con valores. Un adjetivo no es un criterio de aceptación.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8">
      <text>
        <t xml:space="preserve">Semana 6 (actual, 22/09/2026) a Semana 14 (versión congelada), ambas inclusive: 9 semanas. Es el horizonte de planificación de las iteraciones definidas en esta hoja, no la duración total de la materia desde el inicio de clases.</t>
      </text>
    </comment>
    <comment authorId="0" ref="B17">
      <text>
        <t xml:space="preserve">Estimación declarada por la autora («puedo dedicarle bastantes horas»), sin una cifra de horas/semana ya fijada por ella al momento de redactar este libro. Ajustar este número si la dedicación real difiere — el resto de la hoja (presupuesto, margen, y la fila «Humanos» de Recursos) se recalcula solo.</t>
      </text>
    </comment>
    <comment authorId="0" ref="B27">
      <text>
        <t xml:space="preserve">No se tuvo a la vista un «acta de constitución» del proyecto con un criterio de redistribución ya definido; este criterio se redactó por coherencia directa con la priorización MoSCoW del Catálogo. Reemplazar por el criterio real del acta si existe uno.</t>
      </text>
    </comment>
    <comment authorId="0" ref="B5">
      <text>
        <t xml:space="preserve">Las fechas se expresan como número de semana del cuatrimestre (Semana 1 = 13/08/2026, inicio de clases de la Comisión A) y no como fechas de calendario, porque al 22/09/2026 (Semana 6) todavía no hay una fecha de cierre de cuatrimestre confirmada más allá de la cadencia v1/v2/v3/congelada. Semana 8 coincide con la entrega de esta AE2 (01/10/2026).</t>
      </text>
    </comment>
    <comment authorId="0" ref="B20">
      <text>
        <t xml:space="preserve">Estimación propia: no se contó con el calendario de parciales de la autora ni con feriados dentro de la ventana Semana 6-14. Se reserva un margen de 15 horas por posibles solapamientos con evaluaciones de otras materias. Ajustar si se cuenta con información más precisa.</t>
      </text>
    </comment>
  </commentList>
</comments>
</file>

<file path=xl/sharedStrings.xml><?xml version="1.0" encoding="utf-8"?>
<sst xmlns="http://schemas.openxmlformats.org/spreadsheetml/2006/main" count="983" uniqueCount="687">
  <si>
    <t>Libro de trabajo de la AE2 · Proyecto Final de Grado 2026</t>
  </si>
  <si>
    <t>Universidad de la Cuenca del Plata · Ingeniería en Sistemas de Información · Comisión A · Sede Posadas · Docente Titular: PosDr. Darío Ezequiel Díaz · ISI-PFG-2026C2-AE2-v02</t>
  </si>
  <si>
    <t>Para qué sirve este libro</t>
  </si>
  <si>
    <t>Reúne, en un solo archivo versionable, los instrumentos de la Unidad Dos que producen el Capítulo III y alimentan los Capítulos V y X: el catálogo de requisitos, la matriz de trazabilidad, el filtro de entidades, el registro de reglas, el glosario, el plan de iteraciones y el dimensionamiento de recursos. La hoja «Panel» controla sola el estado de completitud y avisa qué falta.</t>
  </si>
  <si>
    <t>Dónde se guarda</t>
  </si>
  <si>
    <t>En el repositorio del equipo, carpeta /03-requisitos, con la nomenclatura de la cátedra: AAAAMMDD_CatalogoRequisitos_Equipo_vN.xlsx. Se versiona cada vez que se cierra un bloque de filas, no una sola vez antes de la entrega.</t>
  </si>
  <si>
    <t>Qué celdas se completan</t>
  </si>
  <si>
    <t>Todas las celdas blancas y grises de cada hoja, a partir de la fila 5. Las filas sombreadas en ocre son ejemplos resueltos sobre el caso conductor «Santa Ana»: se leen, no se copian, y se borran antes de entregar. Las columnas de control, sombreadas en amarillo, contienen fórmulas: no se escriben.</t>
  </si>
  <si>
    <t>Cómo se usan las listas desplegables</t>
  </si>
  <si>
    <t>Las columnas de tipo, prioridad y estado admiten sólo los valores de la lista. Si un valor es rechazado, es porque la categoría no corresponde a la clasificación de la cátedra.</t>
  </si>
  <si>
    <t>Qué mira la corrección</t>
  </si>
  <si>
    <t>Que cada requisito tenga sus seis campos, que su criterio de aceptación sea un procedimiento ejecutable por un tercero, que la trazabilidad cierre en doble vía y que el conjunto de los requisitos «Must» coincida con el producto mínimo viable del apartado V.5.</t>
  </si>
  <si>
    <t>Orden de trabajo sugerido</t>
  </si>
  <si>
    <t>1) Entidades y Reglas, en el taller. 2) Trazabilidad, con los hallazgos de la AE1 codificados H-01, H-02… 3) Catálogo, derivando requisitos de esos hallazgos. 4) Sesión de validación con el referente y actualización de los estados. 5) Iteraciones y Recursos, ya con el catálogo cerrado.</t>
  </si>
  <si>
    <t>Advertencia</t>
  </si>
  <si>
    <t>Ante divergencia entre este libro y la Consigna ISI-PFG-2026C2-AE2-v02, prevalece la consigna. Ante divergencia entre la consigna y la Resolución Rectoral UCP N.º 97/23, prevalece la Resolución.</t>
  </si>
  <si>
    <t>Leyenda de colores</t>
  </si>
  <si>
    <t>Ocre</t>
  </si>
  <si>
    <t>Fila de ejemplo resuelta sobre el caso «Santa Ana». Se borra antes de entregar.</t>
  </si>
  <si>
    <t>Amarillo</t>
  </si>
  <si>
    <t>Celda con fórmula de control. No se escribe.</t>
  </si>
  <si>
    <t>Blanco y gris</t>
  </si>
  <si>
    <t>Celdas que completa el equipo.</t>
  </si>
  <si>
    <t>Catálogo de requisitos · apartado III.5 del informe</t>
  </si>
  <si>
    <t>Una fila por requisito, con los seis campos completos. Regla de cómputo: un requisito sin criterio de aceptación comprobable no se computa, por bien redactado que esté. Antes de cerrar una fila, aplique la prueba del compañero: otro integrante debe poder decir, en diez segundos, cómo verificaría el requisito.</t>
  </si>
  <si>
    <t>ID</t>
  </si>
  <si>
    <t>Enunciado</t>
  </si>
  <si>
    <t>Tipo</t>
  </si>
  <si>
    <t>Categoría (si es no funcional)</t>
  </si>
  <si>
    <t>Prioridad</t>
  </si>
  <si>
    <t>Motivo de la prioridad</t>
  </si>
  <si>
    <t>Criterio de aceptación (condición, acción, resultado con valores)</t>
  </si>
  <si>
    <t>Trazabilidad (H-xx o acta)</t>
  </si>
  <si>
    <t>Estado de validación</t>
  </si>
  <si>
    <t>Iteración prevista</t>
  </si>
  <si>
    <t>¿Integra el MVP?</t>
  </si>
  <si>
    <t>Control de completitud</t>
  </si>
  <si>
    <t>RF-01</t>
  </si>
  <si>
    <t>El sistema rechaza la confirmación de la reserva de un turno cuando la profesional seleccionada ya tiene otro turno activo (no cancelado) el mismo día y a la misma hora de inicio, dentro de las franjas de atención que ella define.</t>
  </si>
  <si>
    <t>Funcional</t>
  </si>
  <si>
    <t>Must</t>
  </si>
  <si>
    <t>Es el «primer requisito derivado» explícito del informe (Cap. I.3) y la condición central de éxito del proyecto: reducir a 0 las superposiciones de turno.</t>
  </si>
  <si>
    <t>Dado un turno ya confirmado para la profesional X el día D a las H, cuando otra clienta intenta reservar a la misma profesional X, el mismo día D y la misma hora H, el sistema rechaza la reserva y no la registra en la base, verificable repitiendo la reserva y consultando la tabla de turnos.</t>
  </si>
  <si>
    <t>H-01, H-02</t>
  </si>
  <si>
    <t>Validado</t>
  </si>
  <si>
    <t>Sí</t>
  </si>
  <si>
    <t>RF-02</t>
  </si>
  <si>
    <t>El sistema permite a una visitante reservar un turno mediante un formulario web, dando de alta su propia cuenta con nombre, apellido y teléfono celular.</t>
  </si>
  <si>
    <t>Es el mecanismo que reemplaza la coordinación por WhatsApp y cuaderno físico, causa raíz identificada del problema (Cap. I.1, I.3).</t>
  </si>
  <si>
    <t>Dado un visitante sin cuenta, cuando completa el formulario con nombre, apellido y teléfono celular (los tres obligatorios y en campos separados) y elige servicio y horario, el sistema crea la cuenta y el turno queda registrado como «Pendiente de seña» hasta que la seña se pague, verificable en el listado de turnos de la clienta.</t>
  </si>
  <si>
    <t>H-04</t>
  </si>
  <si>
    <t>RF-03</t>
  </si>
  <si>
    <t>El sistema calcula la seña según el valor que la propietaria define en Configuración (un monto fijo en pesos o un porcentaje del servicio; hoy $5.000 ARS) y permite pagarla con Mercado Pago (hoy en modo prueba, con tarjeta de prueba) o coordinarla por WhatsApp; el turno queda confirmado con la seña pendiente hasta que se acredita o la propietaria la marca como pagada.</t>
  </si>
  <si>
    <t>Objetivo específico N.º 3 del proyecto (Cap. I.2): reemplaza el cobro manual de señas por transferencia que relevó H-08. El monto lo decide la propietaria, que hoy cobra $5.000.</t>
  </si>
  <si>
    <t>Dado un turno de precio P y una seña configurada en $5.000, cuando la clienta confirma la reserva y elige Mercado Pago, el sistema genera el cobro por el monto configurado; el turno queda confirmado con la seña «pendiente» y esta pasa a «pagada» cuando la pasarela acredita el pago. Si elige coordinar por WhatsApp, la seña queda «pendiente» hasta que la propietaria la marca como pagada. Verificable en el estado de pago del turno y en el valor de la seña de Configuración.</t>
  </si>
  <si>
    <t>H-08</t>
  </si>
  <si>
    <t>RF-04</t>
  </si>
  <si>
    <t>El sistema devuelve el 100% de la seña si la clienta cancela con 12 horas o más de anticipación al turno, y retiene el 100% si cancela con menos de 12 horas o no se presenta.</t>
  </si>
  <si>
    <t>Regla de negocio explícita relevada en la entrevista a la propietaria (R-02); condiciona la confianza de las clientas en el cobro de señas.</t>
  </si>
  <si>
    <t>Dado un turno con seña pagada, pactado a las 18:00 h del día D, cuando la clienta cancela a las 05:00 h del mismo día D (menos de 12 horas antes), el sistema marca la seña como retenida; cuando cancela un día antes a las 17:00 h (más de 12 horas antes), el sistema marca la seña como a devolver, verificable en el estado de pago del turno.</t>
  </si>
  <si>
    <t>H-09</t>
  </si>
  <si>
    <t>RF-05</t>
  </si>
  <si>
    <t>El sistema cancela automáticamente un turno y libera el horario para reasignar si transcurren más de 20 minutos desde la hora pactada sin que la clienta registre su llegada.</t>
  </si>
  <si>
    <t>Should</t>
  </si>
  <si>
    <t>Evita demoras en la agenda subsiguiente (Cap. I.6), pero no es indispensable para el objetivo central de eliminar superposiciones.</t>
  </si>
  <si>
    <t>Dado un turno pactado a las 10:00 h, cuando el reloj del sistema marca las 10:21 h sin registro de llegada de la clienta, el turno pasa a estado «cancelado por inasistencia» y el horario queda disponible para nueva reserva, verificable en el estado del turno y en la grilla de disponibilidad.</t>
  </si>
  <si>
    <t>H-10</t>
  </si>
  <si>
    <t>No</t>
  </si>
  <si>
    <t>RF-06</t>
  </si>
  <si>
    <t>Cuando la clienta no indica preferencia por una profesional, el sistema asigna automáticamente el turno a la profesional disponible en ese día y hora, habilitada para el servicio, con menos turnos en la semana; a igual carga, la de mayor antigüedad.</t>
  </si>
  <si>
    <t>Mejora la distribución de la carga de trabajo (Cap. I.6), pero la clienta puede igualmente elegir profesional de forma manual, por lo que no bloquea el objetivo central.</t>
  </si>
  <si>
    <t>Dadas tres profesionales habilitadas para «manicura» y libres a la hora pedida, con 8, 5 y 5 turnos reservados en la semana, cuando una clienta reserva «manicura» sin elegir profesional, el sistema asigna el turno a la de mayor antigüedad entre las dos con 5 turnos, verificable en el campo de profesional asignada del turno creado.</t>
  </si>
  <si>
    <t>H-11</t>
  </si>
  <si>
    <t>RF-07</t>
  </si>
  <si>
    <t>El sistema solicita un consentimiento diferenciado y específico antes de guardar cualquier dato de alergias o sensibilidad de piel de la clienta, e impide su guardado si no se otorga.</t>
  </si>
  <si>
    <t>Exigencia directa de la Ley N.º 25.326 relevada en Cap. I.6 y I.7; su incumplimiento expone legalmente al proyecto.</t>
  </si>
  <si>
    <t>Dado el formulario de detalles de la reserva con el campo «alergias» completado, cuando la clienta no marca la casilla de consentimiento, el sistema no guarda ese valor en la base; cuando sí la marca, el valor se guarda junto con la fecha y hora del consentimiento, verificable en el registro de la reserva.</t>
  </si>
  <si>
    <t>H-13, H-14</t>
  </si>
  <si>
    <t>RF-08</t>
  </si>
  <si>
    <t>El sistema expone la política de privacidad a la clienta antes de registrar cualquier dato personal, impide continuar el flujo si la rechaza, y registra fecha, hora y versión aceptada.</t>
  </si>
  <si>
    <t>Exigencia de los Art. 21 y 25 de la Ley N.º 25.326 (Cap. I.6, I.7).</t>
  </si>
  <si>
    <t>Dado un nuevo registro de clienta, cuando no acepta la política de privacidad, el formulario no avanza al paso siguiente; cuando la acepta, el sistema graba fecha, hora y número de versión de la política en el registro del usuario, verificable en la base.</t>
  </si>
  <si>
    <t>H-15</t>
  </si>
  <si>
    <t>RF-09</t>
  </si>
  <si>
    <t>El sistema permite a la propietaria ejecutar la eliminación o anonimización de los datos personales de una clienta que lo solicite, preservando solo los registros exigidos por obligaciones contables o fiscales, y deja constancia de auditoría.</t>
  </si>
  <si>
    <t>Exigencia legal (Cap. I.6, Art. 25 Ley N.º 25.326), pero de volumen de uso bajo esperado en esta primera etapa; no bloquea el objetivo central del proyecto.</t>
  </si>
  <si>
    <t>Dada una clienta que solicita la baja de sus datos, cuando la propietaria confirma la anonimización desde el panel, el nombre y el contacto de la clienta dejan de ser recuperables en las consultas del sistema, y se genera un registro con fecha, hora y alcance de la operación en el log de auditoría, verificable en ambas consultas.</t>
  </si>
  <si>
    <t>H-16</t>
  </si>
  <si>
    <t>RF-10</t>
  </si>
  <si>
    <t>El sistema permite reservar, dentro de un mismo turno, dos o más servicios a cargo de profesionales distintas de forma coordinada, con una sola seña para todos los servicios y todas las profesionales, sin requerir coordinación manual entre ellas.</t>
  </si>
  <si>
    <t>Reduce una coordinación hoy manual y verbal (Anexo I), pero afecta a una porción acotada de las reservas frente al volumen total.</t>
  </si>
  <si>
    <t>Dada una clienta que reserva «uñas + cejas» para el mismo horario, cuando confirma la reserva, el sistema crea los turnos vinculados —uno por profesional— con el mismo horario de inicio y cobra una sola seña por el combo, verificable en el campo de agrupación de los turnos y en que la seña se registra una única vez.</t>
  </si>
  <si>
    <t>H-17</t>
  </si>
  <si>
    <t>RF-11</t>
  </si>
  <si>
    <t>El sistema centraliza en un catálogo único los servicios ofrecidos, organizados en las categorías uñas, cabello, cuerpo y rostro, cada uno con su precio y duración.</t>
  </si>
  <si>
    <t>Objetivo específico N.º 1 del proyecto (centralizar la información hoy dispersa); sin catálogo no hay reserva posible.</t>
  </si>
  <si>
    <t>Dado el panel de administración, cuando la propietaria da de alta un servicio con nombre, categoría, precio y duración, el servicio queda disponible para ser elegido por las clientas en el flujo de reserva, verificable en el listado público de servicios.</t>
  </si>
  <si>
    <t>H-04, H-19</t>
  </si>
  <si>
    <t>RF-12</t>
  </si>
  <si>
    <t>El sistema registra, en la reserva de una clienta menor de 13 años gestionada por la cuenta de su madre, padre o tutor, únicamente la condición de acompañante y su vínculo, sin ningún dato identificatorio de la menor.</t>
  </si>
  <si>
    <t>Exigencia directa del principio de minimización de datos bajo la Ley N.º 25.326 (Cap. I.7); su incumplimiento expone legalmente al proyecto frente al tratamiento de datos de menores.</t>
  </si>
  <si>
    <t>Dada una reserva gestionada por una cuenta adulta que marca «acompañante: sí» y elige el vínculo «hija/hijo», cuando se guarda el turno, el sistema registra solo la condición de acompañante y el vínculo de una lista cerrada (hija/hijo, pareja, familiar, amiga/o, otra), sin ningún campo de nombre, edad ni documento de la menor, verificable en el esquema de datos del turno y en el formulario resultante.</t>
  </si>
  <si>
    <t>H-20</t>
  </si>
  <si>
    <t>RNF-01</t>
  </si>
  <si>
    <t>El flujo de reserva web (selección de servicio, horario y confirmación) responde en dispositivos móviles con conexión 4G en 5 segundos o menos entre la selección del horario y la confirmación de la reserva, sin esperar la respuesta manual del estudio.</t>
  </si>
  <si>
    <t>No funcional</t>
  </si>
  <si>
    <t>Rendimiento</t>
  </si>
  <si>
    <t>Cap. II.5 (PESTEL social) exige explícitamente un «flujo ultrarrápido y responsivo para dispositivos móviles» dado el volumen de ~450 turnos mensuales.</t>
  </si>
  <si>
    <t>En una prueba de reserva de punta a punta desde un dispositivo móvil con conexión 4G, el tiempo entre la selección del horario y la confirmación de la reserva (previo a la redirección a la pasarela de pago) es menor o igual a 5 segundos, medido en tres repeticiones consecutivas.</t>
  </si>
  <si>
    <t>H-06, H-07</t>
  </si>
  <si>
    <t>Pendiente</t>
  </si>
  <si>
    <t>RNF-02</t>
  </si>
  <si>
    <t>El sistema debe operar íntegramente desde el navegador web, sin exigir a la clienta la descarga de una aplicación nativa para reservar un turno.</t>
  </si>
  <si>
    <t>Usabilidad</t>
  </si>
  <si>
    <t>Preferencia relevada explícitamente en las conclusiones del relevamiento (Cap. II.6) y en la entrevista a la clienta frecuente.</t>
  </si>
  <si>
    <t>Un usuario sin ninguna aplicación instalada además del navegador completa el flujo completo de reserva y pago de seña únicamente accediendo a la URL del sistema, verificable repitiendo la prueba en un dispositivo sin instalaciones adicionales.</t>
  </si>
  <si>
    <t>H-18</t>
  </si>
  <si>
    <t>RNF-03</t>
  </si>
  <si>
    <t>El sistema restringe la visibilidad de los datos de alergias o sensibilidad de piel al rol profesional asignado al turno y no los trata como historia clínica.</t>
  </si>
  <si>
    <t>Seguridad</t>
  </si>
  <si>
    <t>Exigencia normativa directa de la Ley N.º 25.326 (Cap. I.6, I.7, II.5).</t>
  </si>
  <si>
    <t>Dada una clienta con una advertencia operativa de alergia registrada, cuando una profesional distinta a la asignada al turno consulta el sistema, el dato no aparece en su vista; solo la profesional asignada a ese turno puede visualizarlo, verificable mediante inspección de los permisos de la consulta.</t>
  </si>
  <si>
    <t>RNF-04</t>
  </si>
  <si>
    <t>El sistema delega en una pasarela de pagos certificada toda captura de medios de pago y conserva únicamente el identificador de confirmación (token) que ella devuelve; no almacena datos de tarjetas ni de cuentas bancarias.</t>
  </si>
  <si>
    <t>Cumplimiento normativo</t>
  </si>
  <si>
    <t>Exigencia explícita de Cap. I.7 / II.5 sobre la relación con la pasarela de pagos; evita exponer a Loren y Kologic a responsabilidad sobre datos financieros de terceros.</t>
  </si>
  <si>
    <t>Una revisión del esquema de la base de datos del sistema no encuentra ninguna columna que almacene número de tarjeta, código de seguridad o dato bancario de la clienta; el único dato de pago retenido es el identificador de confirmación (token) devuelto por la pasarela, verificable por inspección del esquema.</t>
  </si>
  <si>
    <t>RNF-05</t>
  </si>
  <si>
    <t>El sistema debe registrar, con fecha y hora, todo cambio de estado de un turno y toda eliminación o anonimización de datos personales.</t>
  </si>
  <si>
    <t>Exigencia del Art. 25 de la Ley N.º 25.326 (Cap. I.6) para sostener la trazabilidad ante una eventual auditoría; no bloquea la operación diaria de reserva.</t>
  </si>
  <si>
    <t>Dada la anonimización de los datos de una clienta ejecutada por la propietaria, cuando se consulta el registro de auditoría, aparece una entrada con fecha, hora y el alcance de la operación realizada, verificable en dicho registro.</t>
  </si>
  <si>
    <t>Matriz de trazabilidad · hallazgo de la AE1 → requisito</t>
  </si>
  <si>
    <t>Se verifica en doble vía. Todo requisito llega a un hallazgo; todo hallazgo llega a un requisito o a una justificación expresa de por qué no derivó ninguno. El silencio no es una decisión.</t>
  </si>
  <si>
    <t>Código (H-01, H-02…)</t>
  </si>
  <si>
    <t>Hallazgo de la AE1 (dato y valor)</t>
  </si>
  <si>
    <t>Fuente (apartado del Cap. II o acta)</t>
  </si>
  <si>
    <t>Requisito(s) derivado(s)</t>
  </si>
  <si>
    <t>Si no deriva: justificación</t>
  </si>
  <si>
    <t>Control de la doble vía</t>
  </si>
  <si>
    <t>H-01</t>
  </si>
  <si>
    <t>Registro de chat de WhatsApp del 24/11/2025: superposición de un turno a las 16:00 h pese a estar confirmado dos semanas antes en el registro físico; el horario seguía figurando disponible por falta de sincronización digital.</t>
  </si>
  <si>
    <t>Cap. I.1, evidencia fechada</t>
  </si>
  <si>
    <t>H-02</t>
  </si>
  <si>
    <t>Línea de base cuantificada: 10 turnos superpuestos por mes sobre 120 turnos individuales de Loren (8,33% de error), medida entre noviembre de 2025 y julio de 2026 cruzando la agenda de papel con los chats de WhatsApp.</t>
  </si>
  <si>
    <t>Cap. I.3, línea de base</t>
  </si>
  <si>
    <t>H-03</t>
  </si>
  <si>
    <t>Costo de oportunidad mensual estimado entre $150.000 y $540.000 ARS por clientas que desisten de reservar o reagendar tras un conflicto de agenda.</t>
  </si>
  <si>
    <t>Cap. I.3, consecuencia acreditada</t>
  </si>
  <si>
    <t>No deriva un requisito propio: es el impacto económico que sostiene la prioridad «Must» de RF-01, RF-03 y RF-04, no una funcionalidad nueva del sistema.</t>
  </si>
  <si>
    <t>El estudio opera sin ningún sistema de información formal: no existe una base de datos centralizada de clientas, turnos, señas ni profesionales.</t>
  </si>
  <si>
    <t>Cap. I.3, diagnóstico del SI actual</t>
  </si>
  <si>
    <t>RF-02, RF-11</t>
  </si>
  <si>
    <t>H-05</t>
  </si>
  <si>
    <t>El 93,57% (131 de 140) de los establecimientos de estética relevados en Posadas opera sin ningún sistema digital; solo 9 (6,43%) cuentan con web o plataforma propia.</t>
  </si>
  <si>
    <t>Cap. II.1 y II.5, relevamiento propio en Google Maps, agosto de 2026</t>
  </si>
  <si>
    <t>No deriva un requisito: es evidencia de contexto de mercado (PESTEL/FODA) que descarta la presión competitiva como desencadenante, no una funcionalidad del sistema.</t>
  </si>
  <si>
    <t>H-06</t>
  </si>
  <si>
    <t>El estudio recibe entre 20 y 30 mensajes de WhatsApp diarios, en su mayoría consultas repetitivas sobre disponibilidad, precios y señas.</t>
  </si>
  <si>
    <t>Cap. II.3 y II.5; entrevista a Loren, 26/08/2026</t>
  </si>
  <si>
    <t>H-07</t>
  </si>
  <si>
    <t>La conciliación manual de un turno insume entre 10 y 15 minutos por consulta, tomada como línea de base del Objetivo específico N.º 4.</t>
  </si>
  <si>
    <t>Cap. II.3</t>
  </si>
  <si>
    <t>Seña fija de $5.000 ARS para turnos individuales, o del 50% del valor para talleres, cobrada manualmente por transferencia bancaria sin trazabilidad automatizada.</t>
  </si>
  <si>
    <t>Cap. I.3 y II.3; Anexo I</t>
  </si>
  <si>
    <t>RF-03, RNF-04</t>
  </si>
  <si>
    <t>Política de cancelación relevada: devolución total con aviso de 12 horas o más; retención del 100% de la seña con aviso menor a 12 horas o no-show.</t>
  </si>
  <si>
    <t>Cap. I.6 y II.3</t>
  </si>
  <si>
    <t>Tolerancia de llegada de 20 minutos desde el horario pactado; superado ese margen, el turno se cancela para no demorar la agenda subsiguiente.</t>
  </si>
  <si>
    <t>Hoy Loren asigna a la profesional por antigüedad y disponibilidad, sin asignación automática (entrevista a Loren); el sistema debe asignar automáticamente, cuando la clienta no elige una en particular, a la profesional libre con menos turnos en la semana y, a igual carga, a la de mayor antigüedad.</t>
  </si>
  <si>
    <t>Cap. I.6, módulos funcionales; Anexo I, entrevista a Loren</t>
  </si>
  <si>
    <t>H-12</t>
  </si>
  <si>
    <t>Distintos tipos de servicio requieren datos específicos (uñas: cantidad y reconstrucción; cabello: largo y extensiones; rostro: tipo de piel), y permiten adjuntar imágenes o textos de referencia.</t>
  </si>
  <si>
    <t>Cap. I.6</t>
  </si>
  <si>
    <t>No deriva un requisito propio de este catálogo: son variantes de captura de datos por categoría de servicio que se resuelven en el diseño del formulario de reserva, no una restricción de negocio autónoma.</t>
  </si>
  <si>
    <t>H-13</t>
  </si>
  <si>
    <t>La información de alergias y tipo de piel hoy se releva de forma verbal e informal, sin ningún registro sistemático.</t>
  </si>
  <si>
    <t>Cap. II.6, conclusiones del relevamiento</t>
  </si>
  <si>
    <t>RF-07, RNF-03</t>
  </si>
  <si>
    <t>H-14</t>
  </si>
  <si>
    <t>Exigencia de consentimiento diferenciado para guardar datos de alergias o piel sensible, conforme a la Ley N.º 25.326.</t>
  </si>
  <si>
    <t>Cap. I.6 y I.7</t>
  </si>
  <si>
    <t>Exigencia de exponer la política de privacidad antes de registrar datos personales, con registro de fecha, hora y versión aceptada.</t>
  </si>
  <si>
    <t>Cap. I.6, Ley N.º 25.326 Art. 25</t>
  </si>
  <si>
    <t>Exigencia de que la propietaria pueda eliminar o anonimizar datos personales a pedido de la titular, con constancia de auditoría, preservando solo los registros contables o fiscales exigidos.</t>
  </si>
  <si>
    <t>Cap. I.6 y I.7, Ley N.º 25.326 Art. 25</t>
  </si>
  <si>
    <t>RF-09, RNF-05</t>
  </si>
  <si>
    <t>Existencia de servicios simultáneos con dos profesionales distintas, hoy coordinados de forma manual y verbal entre ellas.</t>
  </si>
  <si>
    <t>Anexo I, entrevista a Loren</t>
  </si>
  <si>
    <t>Preferencia relevada de las clientas por un flujo web liviano desde el navegador, sin descarga de aplicaciones nativas.</t>
  </si>
  <si>
    <t>H-19</t>
  </si>
  <si>
    <t>Catálogo de servicios organizado en cuatro categorías (uñas, cabello, cuerpo, rostro), con precios y duraciones diferenciados por técnica, hoy no sistematizado en ningún registro único.</t>
  </si>
  <si>
    <t>Cap. II.3, síntesis del catálogo relevado</t>
  </si>
  <si>
    <t>El estudio atiende de forma autónoma a partir de los 13 años; para menores de 13, la reserva y gestión del turno la realiza exclusivamente la madre, padre o tutor, sin registrar datos identificatorios de la menor.</t>
  </si>
  <si>
    <t>Cap. I.7, atención de menores y registro de acompañantes</t>
  </si>
  <si>
    <t>H-21</t>
  </si>
  <si>
    <t>Ocho plataformas genéricas de reserva evaluadas y descartadas (ReservaSimple, Agenda+, AgendaPro, WeiBook, MiAgendaProfesional, Tiska, Turnau, Booksy) por costos dolarizados o suscripciones fijas inviables, y por no adaptarse al esquema local de alquiler más comisión.</t>
  </si>
  <si>
    <t>Cap. I.4</t>
  </si>
  <si>
    <t>No deriva un requisito: es la evidencia que sostiene la decisión de construir un sistema a medida en vez de adoptar una plataforma genérica, no una funcionalidad concreta de Nexa.</t>
  </si>
  <si>
    <t>Lista filtrada de entidades del dominio · Instrumento 28</t>
  </si>
  <si>
    <t>Cada candidata pasa por el filtro de las tres preguntas. Las descartadas no se borran: se reclasifican, porque los descartes de hoy son las preguntas del glosario de mañana.</t>
  </si>
  <si>
    <t>Candidata (sustantivo de la organización)</t>
  </si>
  <si>
    <t>¿Identidad propia?</t>
  </si>
  <si>
    <t>¿Datos y reglas propios?</t>
  </si>
  <si>
    <t>¿Dentro del recorte?</t>
  </si>
  <si>
    <t>Veredicto</t>
  </si>
  <si>
    <t>Fuente que la acredita</t>
  </si>
  <si>
    <t>Relaciones principales</t>
  </si>
  <si>
    <t>Turno</t>
  </si>
  <si>
    <t>Entidad</t>
  </si>
  <si>
    <t>Cap. I.6, módulos funcionales; Cap. I.3, línea de base de turnos superpuestos</t>
  </si>
  <si>
    <t>Un turno pertenece a una clienta y a una profesional; puede agruparse con otros turnos simultáneos de la misma reserva.</t>
  </si>
  <si>
    <t>Profesional</t>
  </si>
  <si>
    <t>Cap. II.3, capacidad operativa (7 profesionales); Anexo I, entrevista a Loren</t>
  </si>
  <si>
    <t>Una profesional atiende muchos turnos; ofrece uno o varios servicios del catálogo.</t>
  </si>
  <si>
    <t>Clienta</t>
  </si>
  <si>
    <t>Cap. I.6, captura de información en el registro; Cap. II.1, fuentes primarias</t>
  </si>
  <si>
    <t>Una clienta reserva muchos turnos; puede tener observaciones operativas asociadas.</t>
  </si>
  <si>
    <t>Servicio</t>
  </si>
  <si>
    <t>Cap. II.3, síntesis del catálogo relevado (uñas, cabello, cuerpo, rostro)</t>
  </si>
  <si>
    <t>Un servicio pertenece a una categoría; es ofrecido por una o varias profesionales; es elegido en muchos turnos.</t>
  </si>
  <si>
    <t>Producto</t>
  </si>
  <si>
    <t>Cap. I.5, descripción breve del sistema de información («comprar productos»)</t>
  </si>
  <si>
    <t>Un producto puede incluirse en muchos pedidos de la tienda.</t>
  </si>
  <si>
    <t>Promoción</t>
  </si>
  <si>
    <t>Cap. I.5, descripción breve del sistema de información («crear promociones»)</t>
  </si>
  <si>
    <t>Una promoción se aplica sobre uno o varios servicios o productos.</t>
  </si>
  <si>
    <t>Categoría de servicio</t>
  </si>
  <si>
    <t>Parcialmente</t>
  </si>
  <si>
    <t>Atributo de otra entidad</t>
  </si>
  <si>
    <t>Cap. II.3, síntesis del catálogo relevado (cuatro categorías: uñas, cabello, cuerpo, rostro)</t>
  </si>
  <si>
    <t>Clasifica al Servicio; no tiene reglas de negocio propias más allá de agrupar.</t>
  </si>
  <si>
    <t>Seña</t>
  </si>
  <si>
    <t>Cap. I.6, cobro de la seña; Cap. II.3, condiciones financieras y señas</t>
  </si>
  <si>
    <t>No existe sin un Turno asociado; hereda su estado del ciclo de vida del turno.</t>
  </si>
  <si>
    <t>Establecimiento (Loren)</t>
  </si>
  <si>
    <t>Producto del sistema</t>
  </si>
  <si>
    <t>Cap. I.1, origen del proyecto; Anexo III, ADR-001 sobre arquitectura single-tenant</t>
  </si>
  <si>
    <t>Es la configuración global de esta instancia; no tiene múltiples ejemplares dentro de este sistema.</t>
  </si>
  <si>
    <t>WhatsApp</t>
  </si>
  <si>
    <t>Elemento del entorno</t>
  </si>
  <si>
    <t>Cap. I.6, exclusiones declaradas; Anexo II, nota aclaratoria sobre el ícono flotante</t>
  </si>
  <si>
    <t>Canal externo de contacto institucional; queda fuera de la arquitectura de reserva de Nexa.</t>
  </si>
  <si>
    <t>Cuaderno físico de turnos</t>
  </si>
  <si>
    <t>Cap. I.1, origen del proyecto; Cap. I.3, diagnóstico del sistema de información actual</t>
  </si>
  <si>
    <t>Es la fuente de verdad actual que Nexa reemplaza; no se digitaliza ni se migra al sistema.</t>
  </si>
  <si>
    <t>Movimiento de inventario</t>
  </si>
  <si>
    <t>Modelo InventoryMovement del backend, migraciones del 11/09 al 17/09/2026, commits 0be5ad5 y 208457f (11/09). Función construida durante el desarrollo; no tiene requisito asociado.</t>
  </si>
  <si>
    <t>Un movimiento de inventario modifica el stock de un Producto: se registra al aprobarse un pedido o por una carga del administrador.</t>
  </si>
  <si>
    <t>Campaña automática</t>
  </si>
  <si>
    <t>Modelo AutoPromotion del backend, commits 0be5ad5 y 208457f (11/09). Función construida durante el desarrollo; no tiene requisito asociado.</t>
  </si>
  <si>
    <t>Una campaña automática (cumpleaños, hito de turno N) genera envíos a las clientas; el descuento queda informado en el mail.</t>
  </si>
  <si>
    <t>Envío de campaña</t>
  </si>
  <si>
    <t>Modelo AutoPromotionSend del backend, mismas migraciones y commits que la campaña. No tiene requisito asociado.</t>
  </si>
  <si>
    <t>Solo registra a qué clienta ya se le envió una campaña, para no repetir el envío; no existe sin una Campaña automática.</t>
  </si>
  <si>
    <t>Evento especial</t>
  </si>
  <si>
    <t>Modelo SpecialEvent del backend, commit 1c90c9b (14/09/2026). Función construida durante el desarrollo; no tiene requisito asociado.</t>
  </si>
  <si>
    <t>Un evento especial se muestra en el home y se puede reservar sin elegir zonas; no reutiliza el indicador de servicio especial.</t>
  </si>
  <si>
    <t>Registro de reglas de negocio · Instrumento 29</t>
  </si>
  <si>
    <t>Regla y requisito derivado deben citar la misma fuente: esa coincidencia es la trazabilidad que la dimensión 1 de la rúbrica verifica.</t>
  </si>
  <si>
    <t>Código</t>
  </si>
  <si>
    <t>Enunciado verificable</t>
  </si>
  <si>
    <t>Fuente</t>
  </si>
  <si>
    <t>Estado</t>
  </si>
  <si>
    <t>Requisito derivado (ID)</t>
  </si>
  <si>
    <t>R-01</t>
  </si>
  <si>
    <t>Restricción</t>
  </si>
  <si>
    <t>No se puede confirmar la reserva de un turno si la profesional seleccionada ya tiene otro turno activo (no cancelado) el mismo día y a la misma hora de inicio, dentro de las franjas de atención que ella define.</t>
  </si>
  <si>
    <t>Cap. I.3, primer requisito derivado; Cap. II.6, conclusiones del relevamiento</t>
  </si>
  <si>
    <t>Validada</t>
  </si>
  <si>
    <t>R-02</t>
  </si>
  <si>
    <t>Si la cancelación se notifica con menos de 12 horas de anticipación al turno, o ante inasistencia (no-show), la seña queda retenida en su totalidad; con 12 horas o más, corresponde la devolución total.</t>
  </si>
  <si>
    <t>Cap. I.6, módulos funcionales</t>
  </si>
  <si>
    <t>R-03</t>
  </si>
  <si>
    <t>Si transcurren más de 20 minutos desde el horario pactado sin que la clienta se presente, el turno se cancela automáticamente y el horario queda disponible para reasignarse.</t>
  </si>
  <si>
    <t>Cap. I.6; Cap. II.3, tolerancia de llegada</t>
  </si>
  <si>
    <t>R-04</t>
  </si>
  <si>
    <t>Derivación</t>
  </si>
  <si>
    <t>Cuando la clienta no indica preferencia por una profesional, el sistema asigna automáticamente el turno entre las profesionales activas, habilitadas para el servicio, con disponibilidad ese día y hora y sin otro turno activo a esa hora de inicio. Elige la que registre menos turnos no cancelados ni no-show en la semana de la fecha pedida (lunes a domingo); a igual cantidad, la de mayor antigüedad. Si ninguna está libre, informa que el horario no está disponible.</t>
  </si>
  <si>
    <t>Cap. I.6, módulos funcionales; criterio de antigüedad según respuesta de Loren (Bitácora, entrada del 02/09/2026). Implementado en resolveProfessionalId (appointment.service.ts), commit c12671b. Falta la confirmación escrita de Loren sobre el criterio de menor carga semanal.</t>
  </si>
  <si>
    <t>R-05</t>
  </si>
  <si>
    <t>El sistema no guarda ningún dato de alergias o sensibilidad de piel de la clienta sin su consentimiento explícito y diferenciado para ese campo.</t>
  </si>
  <si>
    <t>Cap. I.6 y I.7, cumplimiento de la Ley N.º 25.326</t>
  </si>
  <si>
    <t>R-06</t>
  </si>
  <si>
    <t>Existencia</t>
  </si>
  <si>
    <t>Toda reserva de un turno para una clienta menor de 13 años debe quedar asociada a la gestión de una madre, padre o tutor legal; el sistema registra solo la condición de acompañante y su vínculo, sin datos identificatorios de la menor.</t>
  </si>
  <si>
    <t>R-07</t>
  </si>
  <si>
    <t>El monto de la seña lo define la propietaria en Configuración, como un monto fijo en pesos o como un porcentaje del valor del servicio (hoy $5.000 ARS). Para una reserva con servicios simultáneos de profesionales distintas (combo) se cobra una sola seña, que vale para todos los servicios y todas las profesionales.</t>
  </si>
  <si>
    <t>Cap. II.3, condiciones financieras y señas; Anexo I; Configuración del sistema (valor que fija la propietaria).</t>
  </si>
  <si>
    <t>R-08</t>
  </si>
  <si>
    <t>R-09</t>
  </si>
  <si>
    <t>R-10</t>
  </si>
  <si>
    <t>R-11</t>
  </si>
  <si>
    <t>R-12</t>
  </si>
  <si>
    <t>R-13</t>
  </si>
  <si>
    <t>R-14</t>
  </si>
  <si>
    <t>R-15</t>
  </si>
  <si>
    <t>R-16</t>
  </si>
  <si>
    <t>R-17</t>
  </si>
  <si>
    <t>R-18</t>
  </si>
  <si>
    <t>R-19</t>
  </si>
  <si>
    <t>R-20</t>
  </si>
  <si>
    <t>R-21</t>
  </si>
  <si>
    <t>R-22</t>
  </si>
  <si>
    <t>R-23</t>
  </si>
  <si>
    <t>R-24</t>
  </si>
  <si>
    <t>R-25</t>
  </si>
  <si>
    <t>R-26</t>
  </si>
  <si>
    <t>R-27</t>
  </si>
  <si>
    <t>R-28</t>
  </si>
  <si>
    <t>R-29</t>
  </si>
  <si>
    <t>R-30</t>
  </si>
  <si>
    <t>R-31</t>
  </si>
  <si>
    <t>R-32</t>
  </si>
  <si>
    <t>R-33</t>
  </si>
  <si>
    <t>R-34</t>
  </si>
  <si>
    <t>R-35</t>
  </si>
  <si>
    <t>R-36</t>
  </si>
  <si>
    <t>Límites del proyecto · apartado III.4 del informe</t>
  </si>
  <si>
    <t>Seis exclusiones declaradas por escrito. Una exclusión decidida sin el referente es una hipótesis; validada y con acta, es una frontera real.</t>
  </si>
  <si>
    <t>Qué queda fuera</t>
  </si>
  <si>
    <t>Motivo</t>
  </si>
  <si>
    <t>Quién lo valida</t>
  </si>
  <si>
    <t>L-01</t>
  </si>
  <si>
    <t>Facturación electrónica y módulo contable completo</t>
  </si>
  <si>
    <t>Excede el alcance formativo de un Proyecto Integrador Final individual.</t>
  </si>
  <si>
    <t>Loren (referente)</t>
  </si>
  <si>
    <t>Validado en la sesión del prototipo v0 (28/08/2026)</t>
  </si>
  <si>
    <t>Cap. I.6, exclusiones declaradas</t>
  </si>
  <si>
    <t>L-02</t>
  </si>
  <si>
    <t>Liquidación de la comisión entre el estudio y las profesionales (el 80/20 que Loren calcula hoy)</t>
  </si>
  <si>
    <t>El sistema no tiene ninguna regla, módulo contable ni de liquidación de comisiones: Loren lo sigue haciendo fuera de Nexa.</t>
  </si>
  <si>
    <t>Pendiente de validación con la referente</t>
  </si>
  <si>
    <t>Cap. II.3, variabilidad de ingresos y esquemas de prestación</t>
  </si>
  <si>
    <t>L-03</t>
  </si>
  <si>
    <t>Chatbot de WhatsApp y reserva por WhatsApp</t>
  </si>
  <si>
    <t>No hay chatbot de WhatsApp ni se va a desarrollar. La reserva se hace solo por la web; WhatsApp se usa como enlace de contacto, para coordinar el pago de la seña y para avisar de una devolución.</t>
  </si>
  <si>
    <t>Cap. I.6, exclusiones declaradas; Anexo II</t>
  </si>
  <si>
    <t>L-04</t>
  </si>
  <si>
    <t>Panel de administración SaaS multi-tenant centralizado</t>
  </si>
  <si>
    <t>La arquitectura es de instancia única duplicable (ADR-001); el panel centralizado no se construye en esta etapa.</t>
  </si>
  <si>
    <t>Autora</t>
  </si>
  <si>
    <t>Decisión de arquitectura de la autora (ADR-001)</t>
  </si>
  <si>
    <t>Anexo III, ADR-001</t>
  </si>
  <si>
    <t>L-05</t>
  </si>
  <si>
    <t>Tratamiento de alergias y piel sensible como dato de salud</t>
  </si>
  <si>
    <t>Se limita a una advertencia operativa del servicio, no a historia clínica, para acotar el régimen de responsabilidad (RNF-03).</t>
  </si>
  <si>
    <t>Cap. I.7; Anexo II</t>
  </si>
  <si>
    <t>L-06</t>
  </si>
  <si>
    <t>Talleres y capacitaciones</t>
  </si>
  <si>
    <t>El sistema no tiene talleres y todavía no se van a incluir. La seña es única y la define la propietaria en Configuración.</t>
  </si>
  <si>
    <t>Glosario del dominio · Instrumento 30</t>
  </si>
  <si>
    <t>Vocabulario normativo del informe completo y, más adelante, de las tablas del sistema. La entrada más valiosa es la del término en disputa: el que dos personas de la organización usan distinto.</t>
  </si>
  <si>
    <t>Término (como lo usa la organización)</t>
  </si>
  <si>
    <t>Definición operativa (una o dos oraciones)</t>
  </si>
  <si>
    <t>Sinónimos y falsos amigos detectados</t>
  </si>
  <si>
    <t>Fuente (quién lo usa así)</t>
  </si>
  <si>
    <t>¿En disputa?</t>
  </si>
  <si>
    <t>Reserva de un bloque horario de un servicio con una profesional para una clienta determinada.</t>
  </si>
  <si>
    <t>En el informe y las entrevistas se usa indistintamente «turno» y «reserva»; no se relevó el término «cita», aunque podría aparecer en otros estudios del rubro.</t>
  </si>
  <si>
    <t>Cap. I.1, I.5 y II.3</t>
  </si>
  <si>
    <t>Pago parcial que la clienta abona para reservar el turno, como garantía de la reserva. Su monto lo define la propietaria en Configuración (en pesos o como porcentaje del servicio; hoy $5.000). Se paga con Mercado Pago (hoy en modo prueba, con tarjeta de prueba) o se coordina por WhatsApp; el turno queda confirmado aunque la seña esté pendiente, hasta que se acredita o la propietaria la marca como pagada. En una reserva con servicios simultáneos se cobra una sola seña.</t>
  </si>
  <si>
    <t>El Anexo I usa además «anticipo» para referirse al mismo concepto; el Anexo II usa «seña obligatoria».</t>
  </si>
  <si>
    <t>Cap. I.6, II.3 y Anexo I</t>
  </si>
  <si>
    <t>No-show</t>
  </si>
  <si>
    <t>Inasistencia de la clienta al turno sin aviso previo, más allá de la tolerancia de 20 minutos, que determina la retención total de la seña.</t>
  </si>
  <si>
    <t>El informe usa «inasistencia» y «no-show» como sinónimos exactos.</t>
  </si>
  <si>
    <t>Advertencia operativa</t>
  </si>
  <si>
    <t>Dato de alergia o sensibilidad de piel de la clienta, registrado para uso técnico de la profesional durante la prestación, expresamente diferenciado de un dato de salud o historia clínica.</t>
  </si>
  <si>
    <t>No debe confundirse con «dato de salud» en el sentido de la Ley N.º 25.326; el informe hace explícita esta distinción para acotar el riesgo legal.</t>
  </si>
  <si>
    <t>Cap. I.6, I.7 y II.5</t>
  </si>
  <si>
    <t>Instancia dedicada (single-tenant)</t>
  </si>
  <si>
    <t>Arquitectura en la que cada estudio cliente de Kologic opera en su propio entorno y base de datos independiente, sin compartir infraestructura con otros clientes.</t>
  </si>
  <si>
    <t>La Bitácora registra que el proyecto arrancó pensado como «multi-tenant SaaS» y fue reemplazado por este modelo; ambos términos aparecen en distintos documentos según la etapa del proyecto.</t>
  </si>
  <si>
    <t>Resumen del informe; Anexo III, ADR-001</t>
  </si>
  <si>
    <t>Responsable / Encargado del Tratamiento</t>
  </si>
  <si>
    <t>Roles definidos por el Art. 25 de la Ley N.º 25.326: Loren es la Responsable (titular que determina la finalidad de los datos); Kologic es la Encargada (provee la infraestructura sin fines propios sobre esos datos).</t>
  </si>
  <si>
    <t>—</t>
  </si>
  <si>
    <t>Cap. I.7</t>
  </si>
  <si>
    <t>Reuniones con la referente y datos del relevamiento</t>
  </si>
  <si>
    <t>Fechas y valores del relevamiento de la AE1 y de las reuniones posteriores, para que el informe, la bitácora y el libro cuenten lo mismo.</t>
  </si>
  <si>
    <t>Reunión o dato</t>
  </si>
  <si>
    <t>Fecha o valor</t>
  </si>
  <si>
    <t>Detalle</t>
  </si>
  <si>
    <t>Reunión de relevamiento del problema</t>
  </si>
  <si>
    <t>Junio de 2026</t>
  </si>
  <si>
    <t>Reunión sencilla, solo para conocer el problema que tenía Loren.</t>
  </si>
  <si>
    <t>Recursos, categoría 1</t>
  </si>
  <si>
    <t>Entrevistas y toma de datos</t>
  </si>
  <si>
    <t>26/08/2026</t>
  </si>
  <si>
    <t>Entrevista de 45 minutos a Loren y entrevista de 20 minutos a una profesional; observación directa de la agenda de papel.</t>
  </si>
  <si>
    <t>Cap. II.2 y II.3</t>
  </si>
  <si>
    <t>Muestra del prototipo v0</t>
  </si>
  <si>
    <t>28/08/2026</t>
  </si>
  <si>
    <t>Validación del prototipo de baja fidelidad con Loren.</t>
  </si>
  <si>
    <t>Muestra del prototipo v2 y aprobación</t>
  </si>
  <si>
    <t>28/09/2026</t>
  </si>
  <si>
    <t>Reunión presencial: se mostró toda la página y Loren no pidió ningún cambio. Acta del 28/09.</t>
  </si>
  <si>
    <t>Acta de la sesión de validación</t>
  </si>
  <si>
    <t>Período del registro manual analizado</t>
  </si>
  <si>
    <t>Noviembre de 2025 a julio de 2026</t>
  </si>
  <si>
    <t>Se vieron los chats de WhatsApp y la agenda de papel.</t>
  </si>
  <si>
    <t>Chat que muestra la superposición</t>
  </si>
  <si>
    <t>24/11/2025</t>
  </si>
  <si>
    <t>Conversación de WhatsApp de Loren con una clienta en la que se superpusieron los turnos.</t>
  </si>
  <si>
    <t>Fecha de creación de Loren Estudio de Belleza</t>
  </si>
  <si>
    <t>01/09/2025</t>
  </si>
  <si>
    <t>Apertura del estudio.</t>
  </si>
  <si>
    <t>Cap. I.1</t>
  </si>
  <si>
    <t>Horario de atención</t>
  </si>
  <si>
    <t>Lunes a sábado, de 8:00 a 20:00</t>
  </si>
  <si>
    <t>Horario general del estudio; cada profesional define las franjas en que atiende.</t>
  </si>
  <si>
    <t>Plazo para cancelar y recibir la devolución de la seña</t>
  </si>
  <si>
    <t>12 horas</t>
  </si>
  <si>
    <t>Con 12 horas o más de aviso se devuelve la seña; con menos, o por inasistencia, se retiene.</t>
  </si>
  <si>
    <t>Cap. II.3; R-02</t>
  </si>
  <si>
    <t>Plan de iteraciones y presupuesto de horas · Capítulo V</t>
  </si>
  <si>
    <t>El cronograma se construye sobre el presupuesto efectivo de horas-persona y se alinea con la cadencia de artefactos: v1 en la semana 8, v2 en la semana 11, v3 en la semana 13 y versión funcional congelada en la semana 14.</t>
  </si>
  <si>
    <t>Iteración</t>
  </si>
  <si>
    <t>Desde</t>
  </si>
  <si>
    <t>Hasta</t>
  </si>
  <si>
    <t>Objetivo verificable</t>
  </si>
  <si>
    <t>Requisitos comprometidos (ID)</t>
  </si>
  <si>
    <t>Entregable de cierre</t>
  </si>
  <si>
    <t>Horas asignadas</t>
  </si>
  <si>
    <t>Semana 6</t>
  </si>
  <si>
    <t>Semana 8</t>
  </si>
  <si>
    <t>Prototipo v1 ejecutable: alta de cuenta, catálogo de servicios, reserva con validación de disponibilidad en tiempo real y aceptación registrada de la política de privacidad.</t>
  </si>
  <si>
    <t>RF-01, RF-02, RF-08, RF-11, RNF-02</t>
  </si>
  <si>
    <t>Repositorio etiquetado v1, clonable y ejecutable siguiendo el archivo de lectura.</t>
  </si>
  <si>
    <t>Semana 9</t>
  </si>
  <si>
    <t>Semana 11</t>
  </si>
  <si>
    <t>v2: cobro de seña mediante Mercado Pago (modo prueba) o coordinada por WhatsApp, política de cancelación con devolución o retención, consentimiento diferenciado para datos de alergias y restricción de su visibilidad a la profesional asignada, y registro de acompañante para menores de 13 años.</t>
  </si>
  <si>
    <t>RF-03, RF-04, RF-07, RF-12, RNF-01, RNF-03, RNF-04</t>
  </si>
  <si>
    <t>v2 con el flujo de pago de la seña funcionando de punta a punta.</t>
  </si>
  <si>
    <t>Semana 12</t>
  </si>
  <si>
    <t>Semana 13</t>
  </si>
  <si>
    <t>v3: asignación automática de profesional por disponibilidad y menor carga semanal, con desempate por antigüedad; tolerancia de 20 minutos con liberación automática del horario, y reserva de servicios simultáneos con profesionales distintas.</t>
  </si>
  <si>
    <t>RF-05, RF-06, RF-10</t>
  </si>
  <si>
    <t>v3 con las reglas de agenda avanzada validadas con la propietaria.</t>
  </si>
  <si>
    <t>Semana 14</t>
  </si>
  <si>
    <t>Versión funcional congelada: eliminación o anonimización de datos a pedido de la titular y registro de auditoría de cambios sensibles.</t>
  </si>
  <si>
    <t>Versión congelada etiquetada, lista para evaluación.</t>
  </si>
  <si>
    <t>Presupuesto de horas-persona</t>
  </si>
  <si>
    <t>Integrantes del equipo</t>
  </si>
  <si>
    <t>Horas semanales reales por integrante (declaradas, no deseadas)</t>
  </si>
  <si>
    <t>Semanas del período</t>
  </si>
  <si>
    <t>Presupuesto total</t>
  </si>
  <si>
    <t>Reducción prevista por exámenes y feriados (horas)</t>
  </si>
  <si>
    <t>Presupuesto efectivo resultante</t>
  </si>
  <si>
    <t>Horas ya asignadas a iteraciones</t>
  </si>
  <si>
    <t>Margen disponible</t>
  </si>
  <si>
    <t>Cláusula de contingencia (exigencia vii de la consigna)</t>
  </si>
  <si>
    <t>Si el presupuesto de horas cae un tercio, se posterga</t>
  </si>
  <si>
    <t>la Iteración 4 (versión funcional congelada, 25 h) y la Iteración 3 (agenda avanzada, 35 h) completas; sumadas a las 10 h de margen cubren las 70 h perdidas. Sus requisitos —RF-05, RF-06, RF-09, RF-10 y RNF-05— pasan a una segunda etapa posterior a la evaluación de la AE2, ya que ninguno integra el MVP definido en el apartado V.5.</t>
  </si>
  <si>
    <t>Criterio de redistribución, según el acta de constitución</t>
  </si>
  <si>
    <t>Se prioriza sostener los requisitos «Must» que integran el MVP (RF-01 a RF-04, RF-07, RF-08, RF-11, RF-12 y RNF-01 a RNF-04). Los requisitos «Should» de las Iteraciones 3 y 4 se redistribuyen o postergan primero, empezando por la iteración de fecha más lejana.</t>
  </si>
  <si>
    <t>Qué no se sacrifica en ningún caso</t>
  </si>
  <si>
    <t>La trazabilidad del catálogo y la ejecutabilidad del prototipo v1: son condiciones de cómputo.</t>
  </si>
  <si>
    <t>Dimensionamiento de recursos y estructura de costos · Capítulo X</t>
  </si>
  <si>
    <t>Cada asignación con su justificación y su fuente. Toda cifra de costo responde las tres preguntas: quién la produjo, con qué método y sobre qué universo, y para qué período de referencia. No se promedian cifras de universos distintos. Importes en pesos argentinos (ARS) y en dólares estadounidenses (USD): los bienes comprados en dólares se valúan al tipo de cambio de su fecha; el resto se convierte al tipo de cambio minorista de referencia del BCRA, $1.545,118 (cotización vendedor, 25/09/2026, 15:00 h).</t>
  </si>
  <si>
    <t>Clase de recurso</t>
  </si>
  <si>
    <t>Concepto</t>
  </si>
  <si>
    <t>Cantidad</t>
  </si>
  <si>
    <t>Unidad</t>
  </si>
  <si>
    <t>Costo unitario (ARS)</t>
  </si>
  <si>
    <t>Costo unitario (USD)</t>
  </si>
  <si>
    <t>Subtotal (ARS)</t>
  </si>
  <si>
    <t>Subtotal (USD)</t>
  </si>
  <si>
    <t>Naturaleza</t>
  </si>
  <si>
    <t>Fuente, período y justificación</t>
  </si>
  <si>
    <t>1. Costos directos (relacionados directamente con el desarrollo)</t>
  </si>
  <si>
    <t>1.1 Personal técnico</t>
  </si>
  <si>
    <t>Humanos</t>
  </si>
  <si>
    <t>Desarrollo, pruebas y documentación del sistema Nexa (autora)</t>
  </si>
  <si>
    <t>hora</t>
  </si>
  <si>
    <t>OPEX</t>
  </si>
  <si>
    <t>Costo de oportunidad de referencia, no pago real, ya que el proyecto es propio y no se factura a la organización. Las horas del período de desarrollo (200) son una estimación e incluyen desarrollo, reuniones, capacitación y documentación; esta fila recibe el saldo tras restar las reuniones y la capacitación. El mantenimiento posterior al lanzamiento se presupuesta aparte (categoría 5). Tarifa: ver parámetros.</t>
  </si>
  <si>
    <t>Reuniones presenciales con la referente (relevamiento, entrevistas, prototipo v0 y validación del prototipo v2)</t>
  </si>
  <si>
    <t>Tiempo de la autora en las cuatro reuniones presenciales con la propietaria de Loren Estudio de Belleza (relevamiento del problema en junio, entrevistas y toma de datos el 26/08, muestra del prototipo v0 el 28/08 y validación del prototipo v2 el 28/09 de 2026), 3 horas en total. Incluidas en las horas totales del período de desarrollo. Valuadas a la misma tarifa por hora que el desarrollo.</t>
  </si>
  <si>
    <t>Capacitación de Loren y las profesionales en el uso del sistema (prevista, aún no realizada)</t>
  </si>
  <si>
    <t>Sesión de capacitación dictada por la autora antes de la puesta en operación. Incluida en las horas totales del período de desarrollo. Valuada a la misma tarifa por hora; no es un pago efectivo.</t>
  </si>
  <si>
    <t>1.2 Licencias y herramientas de desarrollo</t>
  </si>
  <si>
    <t>Tecnológicos</t>
  </si>
  <si>
    <t>Backend</t>
  </si>
  <si>
    <t>licencia</t>
  </si>
  <si>
    <t>Software de código abierto bajo licencia MIT, sin costo de adquisición ni de uso.</t>
  </si>
  <si>
    <t>Frontend</t>
  </si>
  <si>
    <t>Entorno de desarrollo (Visual Studio Code)</t>
  </si>
  <si>
    <t>Distribución gratuita de Microsoft, utilizada como editor de código durante todo el desarrollo.</t>
  </si>
  <si>
    <t>Control de versiones (GitHub)</t>
  </si>
  <si>
    <t>plan</t>
  </si>
  <si>
    <t>Plan gratuito. Los repositorios nexa-frontend y nexa-backend son públicos y sin costo.</t>
  </si>
  <si>
    <t>Integración continua (GitHub Actions)</t>
  </si>
  <si>
    <t>Minutos de ejecución gratuitos incluidos en el plan free de GitHub.</t>
  </si>
  <si>
    <t>Asistente de programación (Claude Pro)</t>
  </si>
  <si>
    <t>mes</t>
  </si>
  <si>
    <t>Suscripción de USD 20 por mes, pagada en agosto y septiembre de 2026 con Mercado Pago en pesos argentinos: $32.704,46 por cada cobro (≈ $1.635 por USD, con impuestos incluidos). Su uso se declara en la bitácora y en el informe, con el alcance de lo asistido, según el Protocolo de Uso Autorizado. Fuente: comprobantes de pago de Mercado Pago.</t>
  </si>
  <si>
    <t>1.3 Traslados para reuniones presenciales</t>
  </si>
  <si>
    <t>Otros</t>
  </si>
  <si>
    <t>Traslado en auto: relevamiento del problema (junio 2026)</t>
  </si>
  <si>
    <t>litro</t>
  </si>
  <si>
    <t>Domicilio de la autora a Loren Estudio de Belleza: 1,2 km por tramo, en Renault Kwid 1.0 (2018); 2,4 km por reunión a 11,5 km/l. Precio del litro: promedio del rango informado para nafta súper YPF en Posadas a mediados de 2026 ($2.180 a $2.217).</t>
  </si>
  <si>
    <t>Traslado en auto: entrevistas y toma de datos (26/08/2026)</t>
  </si>
  <si>
    <t>Mismo trayecto y vehículo. Precio del litro: promedio del rango informado para nafta súper YPF en Posadas antes del aumento de septiembre de 2026 ($2.180 a $2.217), igual que el traslado de junio.</t>
  </si>
  <si>
    <t>Traslado en auto: muestra del prototipo v0 a la propietaria (28/08/2026)</t>
  </si>
  <si>
    <t>Mismo trayecto, vehículo y rendimiento que los demás traslados. Precio del litro: promedio del rango informado para nafta súper YPF en Posadas antes del aumento de septiembre de 2026 ($2.180 a $2.217), igual que el traslado de junio.</t>
  </si>
  <si>
    <t>Subtotal categoría 1</t>
  </si>
  <si>
    <t>2. Costos indirectos (gastos generales)</t>
  </si>
  <si>
    <t>2.1 Infraestructura y servicios del lugar de trabajo</t>
  </si>
  <si>
    <t>Internet (plan hogareño usado durante el desarrollo)</t>
  </si>
  <si>
    <t>Costo por hora = importe mensual del servicio de internet ÷ 720 horas del mes, por las horas de desarrollo. Se toma solo el renglón de Internet de la factura de Claro ($38.385,01 con la bonificación del 65% por 6 meses; el precio de lista es $109.671,47); se descartan telefonía fija y TV.</t>
  </si>
  <si>
    <t>Físicos y materiales</t>
  </si>
  <si>
    <t>Energía eléctrica (consumo del equipo durante el desarrollo)</t>
  </si>
  <si>
    <t>kWh</t>
  </si>
  <si>
    <t>Cantidad = kWh consumidos por el equipo = (potencia en W ÷ 1000) × horas de desarrollo. Costo unitario = tarifa efectiva = importe total de la factura ÷ kWh facturados. Fuente: factura de energía eléctrica del período de desarrollo.</t>
  </si>
  <si>
    <t>Agua (gasto general del hogar durante el desarrollo)</t>
  </si>
  <si>
    <t>Imputación proporcional de un gasto general del hogar: importe mensual ÷ integrantes del hogar ÷ 720 horas, por las horas de desarrollo. No es un insumo directo del sistema; su incidencia es marginal. Fuente: factura del servicio de agua.</t>
  </si>
  <si>
    <t>Espacio de trabajo en el hogar (imputación de alquiler)</t>
  </si>
  <si>
    <t>La autora no alquila departamento ni oficina: se imputa el costo de oportunidad del espacio usado = superficie afectada (m²) × alquiler mensual de referencia por m² de un ambiente equivalente en Posadas, por los meses de desarrollo (del 25/08 al 26/09/2026). https://roomix.ai/roomix-index/posadas?op=alquiler</t>
  </si>
  <si>
    <t>2.2 Herramientas de gestión y de uso general</t>
  </si>
  <si>
    <t>Gestión del proyecto (Trello)</t>
  </si>
  <si>
    <t>Plan gratuito.</t>
  </si>
  <si>
    <t>Documentación (Google Docs)</t>
  </si>
  <si>
    <t>Cuenta gratuita de Google.</t>
  </si>
  <si>
    <t>Planillas de cálculo (Google Sheets)</t>
  </si>
  <si>
    <t>2.3 Personal de apoyo</t>
  </si>
  <si>
    <t>Horas de la referente (Loren) en las reuniones</t>
  </si>
  <si>
    <t>Colaboración de la organización, sin facturación. La referente participa como validadora del catálogo de requisitos, sin contraprestación económica. Sus horas no forman parte del presupuesto de horas del equipo del Capítulo V.</t>
  </si>
  <si>
    <t>Subtotal categoría 2</t>
  </si>
  <si>
    <t>3. Costos de capital (CAPEX): activos utilizados</t>
  </si>
  <si>
    <t>Computadora de desarrollo: AMD Ryzen 5 5600GT with Radeon Graphics, 16 GB de RAM.</t>
  </si>
  <si>
    <t>unidad</t>
  </si>
  <si>
    <t>CAPEX</t>
  </si>
  <si>
    <t>Bien adquirido por la autora antes del proyecto, sin inversión incremental: no hubo erogación nueva atribuible al Proyecto Integrador Final. Se registra su valor de referencia con el criterio de costo de oportunidad, sin amortización. Precio: USD 710 al 15/06/2026 (referencia de mercado: comprasparaguai.com.br), convertido al tipo de cambio oficial de cierre de junio de 2026 (punto medio $1.486,5/USD). Especificaciones según Windows, aproximadas.</t>
  </si>
  <si>
    <t>Monitor MSI Pro LED MP251L E14L, Full HD, 24,5" IPS, 144 Hz</t>
  </si>
  <si>
    <t>Monitor de la estación de trabajo. Valor de referencia de mercado: USD 92, menor precio listado el 27/09/2026 en https://www.comprasparaguai.com.br/monitor-msi-pro-led-mp251l-e14l-full-hd-245_69285/ , convertido al tipo de cambio de referencia del 25/09/2026.</t>
  </si>
  <si>
    <t>Notebook HP 250 G10 (Intel Core i3, 8 GB de RAM, 512 GB SSD) para demostrar el prototipo a la referente</t>
  </si>
  <si>
    <t>Utilizada para mostrar el prototipo a Loren, no para el desarrollo. Valor de referencia: precio de lista de $1.226.498,90 en MercadoLibre Argentina, septiembre de 2026, https://www.mercadolibre.com.ar/notebook-hp-250-g10-intel-core-i3-8gb-ram-512gb-ssd/p/MLA63217862</t>
  </si>
  <si>
    <t>Escritorio de trabajo</t>
  </si>
  <si>
    <t>Mobiliario de la estación de trabajo, valuado a su precio de mercado como valor de referencia, sin amortización. Realizado por una carpinteria: muebleria los hermanos en julio 2026.</t>
  </si>
  <si>
    <t>Silla de trabajo</t>
  </si>
  <si>
    <t>Mobiliario de la estación de trabajo, valuado a su precio de mercado como valor de referencia, sin amortización. https://www.mercadolibre.com.ar/silla-de-escritorio-oficina-homeworld-ergonomica-regulable-tela-mesh/p/MLA63714507?pdp_filters=item_id:MLA1629910667&amp;matt_tool=12610545&amp;matt_internal_campaign_id=353626081&amp;matt_word=&amp;matt_source=google&amp;matt_campaign_id=24064890188&amp;matt_ad_group_id=198878799533&amp;matt_match_type=&amp;matt_network=g&amp;matt_device=c&amp;matt_creative=819933166688&amp;matt_keyword=&amp;matt_ad_position=&amp;matt_ad_type=pla&amp;matt_merchant_id=114361303&amp;matt_product_id=MLA1629910667&amp;matt_product_partition_id=2543915068277&amp;matt_target_id=pla-2543915068277&amp;cq_src=google_ads&amp;cq_cmp=24064890188&amp;cq_net=g&amp;cq_plt=gp&amp;cq_med=pla&amp;gad_source=1&amp;gad_campaignid=24064890188&amp;gbraid=0AAAAAD01zQbn_rKLuruuKnxdJQNKqR9nO&amp;gclid=CjwKCAjw_eLVBhBEEiwAeaYZfI7PC6TeqWq9ZGt9BG9T4djBAZqXvObiC3m--NwdRh-QIQFaAVwx4hoCfGAQAvD_BwE</t>
  </si>
  <si>
    <t>Subtotal categoría 3 (CAPEX)</t>
  </si>
  <si>
    <t>4. Costos de calidad y pruebas</t>
  </si>
  <si>
    <t>Traslado en auto: validación del prototipo v2 con la propietaria (28/09/2026)</t>
  </si>
  <si>
    <t>Mismo trayecto, vehículo y rendimiento que los traslados de la categoría 1. Precio del litro: $2.269, MisionesOnline, 26/09/2026.</t>
  </si>
  <si>
    <t>Auditoría de seguridad externa (pruebas de penetración)</t>
  </si>
  <si>
    <t>servicio</t>
  </si>
  <si>
    <t>No contratada en esta etapa. La seguridad se limita a las medidas incorporadas al sistema (autenticación con JWT) y a la revisión propia.</t>
  </si>
  <si>
    <t>Herramientas de pruebas automatizadas de pago</t>
  </si>
  <si>
    <t>Sin licencias de pago.</t>
  </si>
  <si>
    <t>Certificaciones externas</t>
  </si>
  <si>
    <t>certificación</t>
  </si>
  <si>
    <t>No se contrataron certificaciones de terceros.</t>
  </si>
  <si>
    <t>Subtotal categoría 4</t>
  </si>
  <si>
    <t>5. Costos de post-lanzamiento y mantenimiento (operación)</t>
  </si>
  <si>
    <t>5.1 Mantenimiento y soporte</t>
  </si>
  <si>
    <t>Mantenimiento correctivo y evolutivo, y soporte técnico a las usuarias</t>
  </si>
  <si>
    <t>Estimación de la autora: horas mensuales de mantenimiento y soporte por el horizonte de operación (ver parámetros). Valuadas a la misma tarifa por hora; costo de oportunidad, no pago real. Se presupuestan aparte de las horas del período de desarrollo.</t>
  </si>
  <si>
    <t>5.2 Infraestructura de producción</t>
  </si>
  <si>
    <t>Hosting del frontend (Vercel)</t>
  </si>
  <si>
    <t>Plan gratuito (Hobby), vigente para proyectos personales y no comerciales. Sujeto a límites de ancho de banda y de funciones sin servidor; a reevaluar si el proyecto pasa a producción comercial con la organización.</t>
  </si>
  <si>
    <t>Hosting del backend (Render)</t>
  </si>
  <si>
    <t>Plan gratuito, con límite de horas mensuales de actividad e inactivación del servicio tras períodos sin uso; a reevaluar en producción.</t>
  </si>
  <si>
    <t>Base de datos (Supabase, PostgreSQL)</t>
  </si>
  <si>
    <t>Plan gratuito de Supabase, sujeto a los límites del plan; a reevaluar en producción comercial.</t>
  </si>
  <si>
    <t>Almacenamiento de imágenes (Supabase Storage)</t>
  </si>
  <si>
    <t>Incluido en el plan gratuito de Supabase. El navegador sube el archivo al backend (POST /api/uploads/image, protegido por JWT) y este lo reenvía a Supabase Storage; en la base solo se guarda la URL pública.</t>
  </si>
  <si>
    <t>Respaldo automático diario de la base de datos (GitHub Actions)</t>
  </si>
  <si>
    <t>Minutos de ejecución gratuitos del plan free de GitHub.</t>
  </si>
  <si>
    <t>Certificado SSL</t>
  </si>
  <si>
    <t>Incluido sin cargo por los planes de Vercel y Render.</t>
  </si>
  <si>
    <t>Comisión de Mercado Pago por cobro (a cargo de la organización)</t>
  </si>
  <si>
    <t>Comisión de 2,9% a 3,19% + IVA sobre el monto cobrado, a cargo de Loren Estudio de Belleza y no del proyecto: los fondos se acreditan en la cuenta de Mercado Pago de la titular y todavía no hay cobros. No integra el costo del proyecto. Fuente: tarifario de Mercado Pago Argentina, agosto de 2026, https://www.mercadopago.com.ar/ayuda/26748</t>
  </si>
  <si>
    <t>5.3 Monitoreo y analítica</t>
  </si>
  <si>
    <t>Monitoreo de errores (Sentry, proyectos de backend y de frontend)</t>
  </si>
  <si>
    <t>Dos proyectos separados que capturan errores reales en producción con contexto completo. Plan gratuito.</t>
  </si>
  <si>
    <t>Monitoreo de disponibilidad (UptimeRobot)</t>
  </si>
  <si>
    <t>Verifica cada 5 minutos que el endpoint /api/health del backend responda y avisa por correo si el sitio se cae. Plan gratuito.</t>
  </si>
  <si>
    <t>Subtotal categoría 5</t>
  </si>
  <si>
    <t>6. Costos de contingencia (imprevistos)</t>
  </si>
  <si>
    <t>Fondo de reserva para desviaciones de alcance, plazos, tipo de cambio o cambios regulatorios</t>
  </si>
  <si>
    <t>sobre categorías 1 a 5</t>
  </si>
  <si>
    <t>Porcentaje de contingencia sobre la suma de las categorías 1 a 5 (ver parámetros), dentro del rango habitual de 10% a 20%.</t>
  </si>
  <si>
    <t>Subtotal categoría 6</t>
  </si>
  <si>
    <t>Total general del proyecto (categorías 1 a 6)</t>
  </si>
  <si>
    <t>Las categorías 3 (CAPEX) y las demás se suman una sola vez; CAPEX + OPEX + contingencia = total general.</t>
  </si>
  <si>
    <t>Del cual: CAPEX (activos de capital)</t>
  </si>
  <si>
    <t>Del cual: OPEX (gastos operativos y de operación)</t>
  </si>
  <si>
    <t>Horas de la autora en el período de desarrollo</t>
  </si>
  <si>
    <t>Coherencia con el Capítulo V</t>
  </si>
  <si>
    <t>Parámetros y supuestos del cálculo</t>
  </si>
  <si>
    <t>Tipo de cambio de referencia (ARS por USD)</t>
  </si>
  <si>
    <t>Tipo de cambio minorista, cotización vendedor, publicado por el BCRA, 25/09/2026, actualización de las 15:00 h. https://www.bcra.gob.ar/tipo-de-cambio-minorista-resultado</t>
  </si>
  <si>
    <t>Tipo de cambio de la compra de la computadora (ARS por USD)</t>
  </si>
  <si>
    <t>Punto medio del rango de cierre de junio de 2026 ($1.483 a $1.490 por dólar), BCRA, Informe Monetario Mensual, junio de 2026. https://www.bcra.gob.ar/archivos/Pdfs/PublicacionesEstadisticas/informes/informe-monetario-mensual-jun-26.pdf</t>
  </si>
  <si>
    <t>Costo por hora de la autora (ARS)</t>
  </si>
  <si>
    <t>Salario bruto promedio del sector software, Reporte OPSSI/CESSI, 1er trimestre 2026 (dato de marzo 2026), dividido por 173 horas mensuales. https://guara-opssi-2026-q1.netlify.app/</t>
  </si>
  <si>
    <t>Horas totales del período de desarrollo</t>
  </si>
  <si>
    <t>Horas asignadas a las iteraciones del Capítulo V (hoja Iteraciones).</t>
  </si>
  <si>
    <t>Horas de reuniones con la referente</t>
  </si>
  <si>
    <t>Horas totales de las cuatro reuniones presenciales (relevamiento del problema en junio, entrevistas el 26/08, muestra del prototipo v0 el 28/08 y validación del prototipo v2 el 28/09).</t>
  </si>
  <si>
    <t>Horas de capacitación prevista</t>
  </si>
  <si>
    <t>Una sesión de cuatro horas previa a la puesta en operación.</t>
  </si>
  <si>
    <t>Horas de un mes calendario (24 × 30)</t>
  </si>
  <si>
    <t>Base para pasar un importe mensual a costo por hora.</t>
  </si>
  <si>
    <t>Fecha del primer commit</t>
  </si>
  <si>
    <t>Historial de commits de los repositorios nexa-frontend y nexa-backend.</t>
  </si>
  <si>
    <t>Fecha del último commit</t>
  </si>
  <si>
    <t>Meses de desarrollo (días corridos ÷ 30)</t>
  </si>
  <si>
    <t>Duración real del desarrollo según los commits.</t>
  </si>
  <si>
    <t>Distancia por reunión, ida y vuelta (km)</t>
  </si>
  <si>
    <t>Domicilio de la autora al estudio: 1,2 km por tramo.</t>
  </si>
  <si>
    <t>Rendimiento urbano del Renault Kwid 1.0 2018 (km/l)</t>
  </si>
  <si>
    <t>Rendimiento real en ciudad medido en prueba de manejo (iProfesional, 16/07/2026), más conservador que el declarado por el fabricante (15,3 km/l), por tratarse de trayectos cortos con motor frío.</t>
  </si>
  <si>
    <t>Internet: importe mensual del servicio (ARS)</t>
  </si>
  <si>
    <t>Servicio Internet 600 MB de Claro, con bonificación del 65% por 6 meses (precio de lista $109.671,47). Se excluyen telefonía fija y TV, que no corresponden al proyecto.</t>
  </si>
  <si>
    <t>Luz: importe total de la factura mensual (ARS)</t>
  </si>
  <si>
    <t>Factura de energía eléctrica del período de desarrollo.</t>
  </si>
  <si>
    <t>Luz: kWh facturados en ese período</t>
  </si>
  <si>
    <t>Detalle de consumo de la misma factura.</t>
  </si>
  <si>
    <t>Luz: potencia del equipo de desarrollo en uso (W, PC y monitor)</t>
  </si>
  <si>
    <t>W</t>
  </si>
  <si>
    <t>Medición estimada, sin medir con un vatímetro</t>
  </si>
  <si>
    <t>Agua: importe mensual de la factura (ARS)</t>
  </si>
  <si>
    <t>Factura del servicio de agua del hogar.</t>
  </si>
  <si>
    <t>Agua: integrantes del hogar</t>
  </si>
  <si>
    <t>Personas entre las que se reparte el consumo.</t>
  </si>
  <si>
    <t>Espacio de trabajo: superficie afectada (m²)</t>
  </si>
  <si>
    <t>Superficie del ambiente usado para el desarrollo.</t>
  </si>
  <si>
    <t>Espacio de trabajo: alquiler mensual de referencia por m² (ARS)</t>
  </si>
  <si>
    <t>Alquiler mensual de mercado por m² de un ambiente equivalente en Posadas.</t>
  </si>
  <si>
    <t>Escritorio: precio (ARS)</t>
  </si>
  <si>
    <t>Precio del escritorio utilizado para el desarrollo.</t>
  </si>
  <si>
    <t>Silla: precio (ARS)</t>
  </si>
  <si>
    <t>Precio de la silla utilizada para el desarrollo.</t>
  </si>
  <si>
    <t>Horizonte de operación posterior al lanzamiento (meses)</t>
  </si>
  <si>
    <t>Período de referencia del presupuesto de operación.</t>
  </si>
  <si>
    <t>Horas mensuales de mantenimiento y soporte</t>
  </si>
  <si>
    <t>Estimación de la autora para corrección de errores, mejoras y atención de consultas.</t>
  </si>
  <si>
    <t>Porcentaje de contingencia</t>
  </si>
  <si>
    <t>Dentro del rango habitual de 10% a 20% sobre el costo total; se adopta el punto medio por el riesgo cambiario y de alcance.</t>
  </si>
  <si>
    <t>Panel de control de la entrega</t>
  </si>
  <si>
    <t>Los valores se calculan solos a partir de las demás hojas. Ninguna celda de esta hoja se escribe a mano. Recórrala la noche anterior a la entrega: cada línea en rojo es una observación previsible en la devolución.</t>
  </si>
  <si>
    <t>Indicador</t>
  </si>
  <si>
    <t>Valor</t>
  </si>
  <si>
    <t>Qué debe verificarse</t>
  </si>
  <si>
    <t>Requisitos registrados</t>
  </si>
  <si>
    <t>Un catálogo de menos de ocho requisitos rara vez cubre el alcance declarado.</t>
  </si>
  <si>
    <t>Requisitos con criterio de aceptación</t>
  </si>
  <si>
    <t>Debe coincidir con el total. Un requisito sin criterio no se computa.</t>
  </si>
  <si>
    <t>Requisitos trazados a un hallazgo o acta</t>
  </si>
  <si>
    <t>Debe coincidir con el total. Sin origen, el requisito no ingresa al catálogo.</t>
  </si>
  <si>
    <t>Requisitos no funcionales</t>
  </si>
  <si>
    <t>Un catálogo sin requisitos no funcionales no decidió arquitectura.</t>
  </si>
  <si>
    <t>No funcionales sin categoría declarada</t>
  </si>
  <si>
    <t>Debe ser cero.</t>
  </si>
  <si>
    <t>Requisitos «Must»</t>
  </si>
  <si>
    <t>Priorizar es nombrar lo que no se hará. Si casi todo es «Must», no se priorizó.</t>
  </si>
  <si>
    <t>Requisitos declarados dentro del MVP</t>
  </si>
  <si>
    <t>Debe coincidir con la cantidad de «Must».</t>
  </si>
  <si>
    <t>Coherencia entre «Must» y producto mínimo viable</t>
  </si>
  <si>
    <t>Si dice REVISAR, uno de los dos apartados está mal escrito: el catálogo o el V.5.</t>
  </si>
  <si>
    <t>Requisitos validados con el referente</t>
  </si>
  <si>
    <t>Un requisito redactado y no validado carece de valor probatorio.</t>
  </si>
  <si>
    <t>Filas del catálogo con campos faltantes</t>
  </si>
  <si>
    <t>Debe ser cero antes de exportar el PDF.</t>
  </si>
  <si>
    <t>Hallazgos de la AE1 registrados</t>
  </si>
  <si>
    <t>Todo hallazgo del Capítulo II que sostuvo el diagnóstico debería estar.</t>
  </si>
  <si>
    <t>Hallazgos sin requisito ni justificación</t>
  </si>
  <si>
    <t>Debe ser cero. El silencio no es una decisión.</t>
  </si>
  <si>
    <t>Entidades aceptadas en el modelo del dominio</t>
  </si>
  <si>
    <t>Cada una debe tener su fuente en la columna correspondiente.</t>
  </si>
  <si>
    <t>Candidatas evaluadas y reclasificadas</t>
  </si>
  <si>
    <t>Los descartes documentados son los que permiten defender la delimitación.</t>
  </si>
  <si>
    <t>Reglas de negocio registradas</t>
  </si>
  <si>
    <t>Mínimo exigido en el taller de la Clase 8: tres reglas enunciadas de modo verificable.</t>
  </si>
  <si>
    <t>Reglas todavía pendientes de validación</t>
  </si>
  <si>
    <t>Toda regla pendiente pasa a la guía de la sesión de validación.</t>
  </si>
  <si>
    <t>Términos del glosario en disputa</t>
  </si>
  <si>
    <t>Se resuelven con el referente y se cierran con una definición acordada.</t>
  </si>
  <si>
    <t>Horas asignadas a iteraciones</t>
  </si>
  <si>
    <t>Deben caber en el presupuesto efectivo de horas de la hoja Iteraciones.</t>
  </si>
  <si>
    <t>Coherencia entre recursos humanos y presupuesto de horas</t>
  </si>
  <si>
    <t>Las horas del Capítulo X y las del Capítulo V deben ser el mismo número.</t>
  </si>
  <si>
    <t>Condición material del cómputo</t>
  </si>
  <si>
    <t>Ninguna de estas cifras sustituye la comprobación del prototipo v1. La cátedra clona el repositorio en la etiqueta v1, sigue las instrucciones del archivo de lectura y ejecuta. Un esqueleto que no arranca, no compila o carece de instrucciones no se computa como entregado, con independencia de la calidad del documento que lo acompañe.</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</si>
</sst>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
    <numFmt numFmtId="165" formatCode="&quot;US$&quot;#,##0.00"/>
    <numFmt numFmtId="166" formatCode="&quot;US$&quot;#,##0"/>
    <numFmt numFmtId="167" formatCode="\$#,##0.00"/>
    <numFmt numFmtId="168" formatCode="0.000"/>
    <numFmt numFmtId="169" formatCode="\$#,##0.0"/>
    <numFmt numFmtId="170" formatCode="dd/mm/yyyy"/>
    <numFmt numFmtId="171" formatCode="0.0"/>
  </numFmts>
  <fonts count="18">
    <font>
      <sz val="11.0"/>
      <color theme="1"/>
      <name val="Calibri"/>
      <scheme val="minor"/>
    </font>
    <font>
      <b/>
      <sz val="13.0"/>
      <color rgb="FF1F3A6E"/>
      <name val="Arial"/>
    </font>
    <font>
      <sz val="11.0"/>
      <color theme="1"/>
      <name val="Calibri"/>
    </font>
    <font>
      <i/>
      <sz val="9.0"/>
      <color rgb="FF5A6A80"/>
      <name val="Arial"/>
    </font>
    <font>
      <b/>
      <sz val="10.0"/>
      <color rgb="FF1F3A6E"/>
      <name val="Arial"/>
    </font>
    <font>
      <sz val="10.0"/>
      <color theme="1"/>
      <name val="Arial"/>
    </font>
    <font>
      <b/>
      <sz val="9.0"/>
      <color theme="1"/>
      <name val="Arial"/>
    </font>
    <font>
      <sz val="9.0"/>
      <color theme="1"/>
      <name val="Arial"/>
    </font>
    <font>
      <b/>
      <sz val="9.0"/>
      <color rgb="FFFFFFFF"/>
      <name val="Arial"/>
    </font>
    <font>
      <b/>
      <sz val="9.0"/>
      <color rgb="FF7A5C00"/>
      <name val="Arial"/>
    </font>
    <font>
      <sz val="9.0"/>
      <color rgb="FF1C2430"/>
      <name val="Arial"/>
    </font>
    <font>
      <b/>
      <sz val="11.0"/>
      <color rgb="FF1F3A6E"/>
      <name val="Arial"/>
    </font>
    <font/>
    <font>
      <b/>
      <sz val="10.0"/>
      <color rgb="FFFFFFFF"/>
      <name val="Arial"/>
    </font>
    <font>
      <b/>
      <sz val="9.0"/>
      <color rgb="FF1C2430"/>
      <name val="Arial"/>
    </font>
    <font>
      <sz val="9.0"/>
      <color rgb="FF0000FF"/>
      <name val="Arial"/>
    </font>
    <font>
      <b/>
      <sz val="10.0"/>
      <color rgb="FF7A5C00"/>
      <name val="Arial"/>
    </font>
    <font>
      <sz val="9.0"/>
      <color rgb="FF5A6A80"/>
      <name val="Arial"/>
    </font>
  </fonts>
  <fills count="8">
    <fill>
      <patternFill patternType="none"/>
    </fill>
    <fill>
      <patternFill patternType="lightGray"/>
    </fill>
    <fill>
      <patternFill patternType="solid">
        <fgColor rgb="FFF2F5FA"/>
        <bgColor rgb="FFF2F5FA"/>
      </patternFill>
    </fill>
    <fill>
      <patternFill patternType="solid">
        <fgColor rgb="FFFDF4E2"/>
        <bgColor rgb="FFFDF4E2"/>
      </patternFill>
    </fill>
    <fill>
      <patternFill patternType="solid">
        <fgColor rgb="FFFFF6D6"/>
        <bgColor rgb="FFFFF6D6"/>
      </patternFill>
    </fill>
    <fill>
      <patternFill patternType="solid">
        <fgColor rgb="FF1F3A6E"/>
        <bgColor rgb="FF1F3A6E"/>
      </patternFill>
    </fill>
    <fill>
      <patternFill patternType="solid">
        <fgColor rgb="FFD9E2F3"/>
        <bgColor rgb="FFD9E2F3"/>
      </patternFill>
    </fill>
    <fill>
      <patternFill patternType="solid">
        <fgColor rgb="FFFBEAEA"/>
        <bgColor rgb="FFFBEAEA"/>
      </patternFill>
    </fill>
  </fills>
  <borders count="18">
    <border/>
    <border>
      <left style="thin">
        <color rgb="FFB9C4D6"/>
      </left>
      <right style="thin">
        <color rgb="FFB9C4D6"/>
      </right>
      <top style="thin">
        <color rgb="FFB9C4D6"/>
      </top>
      <bottom style="thin">
        <color rgb="FFB9C4D6"/>
      </bottom>
    </border>
    <border>
      <left style="thin">
        <color rgb="FFB9C4D6"/>
      </left>
      <right style="thin">
        <color rgb="FFB9C4D6"/>
      </right>
      <top style="thin">
        <color rgb="FFB9C4D6"/>
      </top>
      <bottom style="thin">
        <color rgb="FF000000"/>
      </bottom>
    </border>
    <border>
      <left style="thin">
        <color rgb="FFB9C4D6"/>
      </left>
      <right style="thin">
        <color rgb="FFB9C4D6"/>
      </right>
      <top style="thin">
        <color rgb="FFB9C4D6"/>
      </top>
    </border>
    <border>
      <left style="thin">
        <color rgb="FFB9C4D6"/>
      </left>
      <top style="thin">
        <color rgb="FFB9C4D6"/>
      </top>
      <bottom style="thin">
        <color rgb="FFB9C4D6"/>
      </bottom>
    </border>
    <border>
      <top style="thin">
        <color rgb="FFB9C4D6"/>
      </top>
      <bottom style="thin">
        <color rgb="FFB9C4D6"/>
      </bottom>
    </border>
    <border>
      <right style="thin">
        <color rgb="FFB9C4D6"/>
      </right>
      <top style="thin">
        <color rgb="FFB9C4D6"/>
      </top>
      <bottom style="thin">
        <color rgb="FFB9C4D6"/>
      </bottom>
    </border>
    <border>
      <left/>
      <right/>
      <top/>
      <bottom/>
    </border>
    <border>
      <left style="thin">
        <color rgb="FFBFC7D5"/>
      </left>
      <right style="thin">
        <color rgb="FFBFC7D5"/>
      </right>
      <top style="thin">
        <color rgb="FFBFC7D5"/>
      </top>
      <bottom style="thin">
        <color rgb="FFBFC7D5"/>
      </bottom>
    </border>
    <border>
      <left style="thin">
        <color rgb="FFBFC7D5"/>
      </left>
      <top style="thin">
        <color rgb="FFBFC7D5"/>
      </top>
      <bottom style="thin">
        <color rgb="FFBFC7D5"/>
      </bottom>
    </border>
    <border>
      <top style="thin">
        <color rgb="FFBFC7D5"/>
      </top>
      <bottom style="thin">
        <color rgb="FFBFC7D5"/>
      </bottom>
    </border>
    <border>
      <right style="thin">
        <color rgb="FFBFC7D5"/>
      </right>
      <top style="thin">
        <color rgb="FFBFC7D5"/>
      </top>
      <bottom style="thin">
        <color rgb="FFBFC7D5"/>
      </bottom>
    </border>
    <border>
      <left/>
      <top/>
    </border>
    <border>
      <top/>
    </border>
    <border>
      <right/>
      <top/>
    </border>
    <border>
      <left/>
      <bottom/>
    </border>
    <border>
      <bottom/>
    </border>
    <border>
      <right/>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top" wrapText="1"/>
    </xf>
    <xf borderId="1" fillId="2" fontId="4" numFmtId="0" xfId="0" applyAlignment="1" applyBorder="1" applyFill="1" applyFont="1">
      <alignment shrinkToFit="0" vertical="center" wrapText="1"/>
    </xf>
    <xf borderId="1" fillId="2" fontId="5" numFmtId="0" xfId="0" applyAlignment="1" applyBorder="1" applyFill="1" applyFont="1">
      <alignment shrinkToFit="0" vertical="center" wrapText="1"/>
    </xf>
    <xf borderId="0" fillId="0" fontId="2" numFmtId="0" xfId="0" applyAlignment="1" applyFont="1">
      <alignment shrinkToFit="0" vertical="center" wrapText="0"/>
    </xf>
    <xf borderId="1" fillId="0" fontId="4" numFmtId="0" xfId="0" applyAlignment="1" applyBorder="1" applyFont="1">
      <alignment shrinkToFit="0" vertical="center" wrapText="1"/>
    </xf>
    <xf borderId="1" fillId="0" fontId="5" numFmtId="0" xfId="0" applyAlignment="1" applyBorder="1" applyFont="1">
      <alignment shrinkToFit="0" vertical="center" wrapText="1"/>
    </xf>
    <xf borderId="0" fillId="0" fontId="4" numFmtId="0" xfId="0" applyAlignment="1" applyFont="1">
      <alignment shrinkToFit="0" vertical="bottom" wrapText="0"/>
    </xf>
    <xf borderId="1" fillId="3" fontId="6" numFmtId="0" xfId="0" applyAlignment="1" applyBorder="1" applyFill="1" applyFont="1">
      <alignment shrinkToFit="0" vertical="bottom" wrapText="0"/>
    </xf>
    <xf borderId="1" fillId="0" fontId="7" numFmtId="0" xfId="0" applyAlignment="1" applyBorder="1" applyFont="1">
      <alignment shrinkToFit="0" vertical="bottom" wrapText="0"/>
    </xf>
    <xf borderId="1" fillId="4" fontId="6" numFmtId="0" xfId="0" applyAlignment="1" applyBorder="1" applyFill="1" applyFont="1">
      <alignment shrinkToFit="0" vertical="bottom" wrapText="0"/>
    </xf>
    <xf borderId="1" fillId="2" fontId="6" numFmtId="0" xfId="0" applyAlignment="1" applyBorder="1" applyFill="1" applyFont="1">
      <alignment shrinkToFit="0" vertical="bottom" wrapText="0"/>
    </xf>
    <xf borderId="0" fillId="0" fontId="1" numFmtId="0" xfId="0" applyAlignment="1" applyFont="1">
      <alignment shrinkToFit="0" vertical="center" wrapText="0"/>
    </xf>
    <xf borderId="0" fillId="0" fontId="3" numFmtId="0" xfId="0" applyAlignment="1" applyFont="1">
      <alignment shrinkToFit="0" vertical="center" wrapText="1"/>
    </xf>
    <xf borderId="1" fillId="5" fontId="8" numFmtId="0" xfId="0" applyAlignment="1" applyBorder="1" applyFill="1" applyFont="1">
      <alignment horizontal="center" shrinkToFit="0" vertical="center" wrapText="1"/>
    </xf>
    <xf borderId="1" fillId="0" fontId="7" numFmtId="0" xfId="0" applyAlignment="1" applyBorder="1" applyFont="1">
      <alignment shrinkToFit="0" vertical="center" wrapText="1"/>
    </xf>
    <xf borderId="1" fillId="4" fontId="9" numFmtId="0" xfId="0" applyAlignment="1" applyBorder="1" applyFill="1" applyFont="1">
      <alignment shrinkToFit="0" vertical="center" wrapText="1"/>
    </xf>
    <xf borderId="1" fillId="2" fontId="7" numFmtId="0" xfId="0" applyAlignment="1" applyBorder="1" applyFill="1" applyFont="1">
      <alignment shrinkToFit="0" vertical="center" wrapText="1"/>
    </xf>
    <xf borderId="1" fillId="2" fontId="7" numFmtId="0" xfId="0" applyAlignment="1" applyBorder="1" applyFill="1" applyFont="1">
      <alignment readingOrder="0" shrinkToFit="0" vertical="center" wrapText="1"/>
    </xf>
    <xf borderId="1" fillId="2" fontId="10" numFmtId="0" xfId="0" applyAlignment="1" applyBorder="1" applyFill="1" applyFont="1">
      <alignment shrinkToFit="0" vertical="top" wrapText="1"/>
    </xf>
    <xf borderId="1" fillId="4" fontId="9" numFmtId="0" xfId="0" applyAlignment="1" applyBorder="1" applyFill="1" applyFont="1">
      <alignment shrinkToFit="0" vertical="top" wrapText="1"/>
    </xf>
    <xf borderId="1" fillId="0" fontId="10" numFmtId="0" xfId="0" applyAlignment="1" applyBorder="1" applyFont="1">
      <alignment shrinkToFit="0" vertical="top" wrapText="1"/>
    </xf>
    <xf borderId="2" fillId="0" fontId="7" numFmtId="0" xfId="0" applyAlignment="1" applyBorder="1" applyFont="1">
      <alignment shrinkToFit="0" vertical="center" wrapText="1"/>
    </xf>
    <xf borderId="1" fillId="3" fontId="7" numFmtId="0" xfId="0" applyAlignment="1" applyBorder="1" applyFill="1" applyFont="1">
      <alignment shrinkToFit="0" vertical="center" wrapText="1"/>
    </xf>
    <xf borderId="1" fillId="0" fontId="10" numFmtId="0" xfId="0" applyAlignment="1" applyBorder="1" applyFont="1">
      <alignment shrinkToFit="0" vertical="center" wrapText="1"/>
    </xf>
    <xf borderId="1" fillId="2" fontId="10" numFmtId="0" xfId="0" applyAlignment="1" applyBorder="1" applyFill="1" applyFont="1">
      <alignment shrinkToFit="0" vertical="center" wrapText="1"/>
    </xf>
    <xf borderId="1" fillId="0" fontId="7" numFmtId="0" xfId="0" applyAlignment="1" applyBorder="1" applyFont="1">
      <alignment readingOrder="0" shrinkToFit="0" vertical="center" wrapText="1"/>
    </xf>
    <xf borderId="3" fillId="2" fontId="7" numFmtId="0" xfId="0" applyAlignment="1" applyBorder="1" applyFill="1" applyFont="1">
      <alignment shrinkToFit="0" vertical="center" wrapText="1"/>
    </xf>
    <xf borderId="0" fillId="0" fontId="10" numFmtId="0" xfId="0" applyAlignment="1" applyFont="1">
      <alignment shrinkToFit="0" vertical="top" wrapText="1"/>
    </xf>
    <xf borderId="0" fillId="0" fontId="11" numFmtId="0" xfId="0" applyAlignment="1" applyFont="1">
      <alignment shrinkToFit="0" vertical="bottom" wrapText="0"/>
    </xf>
    <xf borderId="1" fillId="0" fontId="7" numFmtId="0" xfId="0" applyAlignment="1" applyBorder="1" applyFont="1">
      <alignment shrinkToFit="0" vertical="top" wrapText="1"/>
    </xf>
    <xf borderId="1" fillId="0" fontId="6" numFmtId="0" xfId="0" applyAlignment="1" applyBorder="1" applyFont="1">
      <alignment shrinkToFit="0" vertical="center" wrapText="1"/>
    </xf>
    <xf borderId="4" fillId="0" fontId="7" numFmtId="0" xfId="0" applyAlignment="1" applyBorder="1" applyFont="1">
      <alignment shrinkToFit="0" vertical="center" wrapText="1"/>
    </xf>
    <xf borderId="5" fillId="0" fontId="12" numFmtId="0" xfId="0" applyBorder="1" applyFont="1"/>
    <xf borderId="6" fillId="0" fontId="12" numFmtId="0" xfId="0" applyBorder="1" applyFont="1"/>
    <xf borderId="7" fillId="5" fontId="13" numFmtId="0" xfId="0" applyAlignment="1" applyBorder="1" applyFill="1" applyFont="1">
      <alignment shrinkToFit="0" vertical="center" wrapText="0"/>
    </xf>
    <xf borderId="7" fillId="6" fontId="14" numFmtId="0" xfId="0" applyAlignment="1" applyBorder="1" applyFill="1" applyFont="1">
      <alignment shrinkToFit="0" vertical="center" wrapText="0"/>
    </xf>
    <xf borderId="7" fillId="6" fontId="2" numFmtId="0" xfId="0" applyAlignment="1" applyBorder="1" applyFill="1" applyFont="1">
      <alignment shrinkToFit="0" vertical="center" wrapText="0"/>
    </xf>
    <xf borderId="8" fillId="2" fontId="10" numFmtId="0" xfId="0" applyAlignment="1" applyBorder="1" applyFill="1" applyFont="1">
      <alignment shrinkToFit="0" vertical="center" wrapText="1"/>
    </xf>
    <xf borderId="8" fillId="2" fontId="10" numFmtId="3" xfId="0" applyAlignment="1" applyBorder="1" applyFill="1" applyFont="1" applyNumberFormat="1">
      <alignment horizontal="center" shrinkToFit="0" vertical="center" wrapText="1"/>
    </xf>
    <xf borderId="8" fillId="2" fontId="10" numFmtId="0" xfId="0" applyAlignment="1" applyBorder="1" applyFill="1" applyFont="1">
      <alignment horizontal="center" shrinkToFit="0" vertical="center" wrapText="1"/>
    </xf>
    <xf borderId="8" fillId="2" fontId="10" numFmtId="164" xfId="0" applyAlignment="1" applyBorder="1" applyFill="1" applyFont="1" applyNumberFormat="1">
      <alignment shrinkToFit="0" vertical="center" wrapText="1"/>
    </xf>
    <xf borderId="8" fillId="2" fontId="10" numFmtId="165" xfId="0" applyAlignment="1" applyBorder="1" applyFill="1" applyFont="1" applyNumberFormat="1">
      <alignment shrinkToFit="0" vertical="center" wrapText="1"/>
    </xf>
    <xf borderId="8" fillId="0" fontId="10" numFmtId="0" xfId="0" applyAlignment="1" applyBorder="1" applyFont="1">
      <alignment shrinkToFit="0" vertical="center" wrapText="1"/>
    </xf>
    <xf borderId="8" fillId="0" fontId="10" numFmtId="3" xfId="0" applyAlignment="1" applyBorder="1" applyFont="1" applyNumberFormat="1">
      <alignment horizontal="center" shrinkToFit="0" vertical="center" wrapText="1"/>
    </xf>
    <xf borderId="8" fillId="0" fontId="10" numFmtId="0" xfId="0" applyAlignment="1" applyBorder="1" applyFont="1">
      <alignment horizontal="center" shrinkToFit="0" vertical="center" wrapText="1"/>
    </xf>
    <xf borderId="8" fillId="0" fontId="10" numFmtId="164" xfId="0" applyAlignment="1" applyBorder="1" applyFont="1" applyNumberFormat="1">
      <alignment shrinkToFit="0" vertical="center" wrapText="1"/>
    </xf>
    <xf borderId="8" fillId="0" fontId="10" numFmtId="165" xfId="0" applyAlignment="1" applyBorder="1" applyFont="1" applyNumberFormat="1">
      <alignment shrinkToFit="0" vertical="center" wrapText="1"/>
    </xf>
    <xf borderId="8" fillId="2" fontId="15" numFmtId="0" xfId="0" applyAlignment="1" applyBorder="1" applyFill="1" applyFont="1">
      <alignment horizontal="center" shrinkToFit="0" vertical="center" wrapText="1"/>
    </xf>
    <xf borderId="8" fillId="2" fontId="15" numFmtId="164" xfId="0" applyAlignment="1" applyBorder="1" applyFill="1" applyFont="1" applyNumberFormat="1">
      <alignment shrinkToFit="0" vertical="center" wrapText="1"/>
    </xf>
    <xf borderId="8" fillId="2" fontId="10" numFmtId="166" xfId="0" applyAlignment="1" applyBorder="1" applyFill="1" applyFont="1" applyNumberFormat="1">
      <alignment shrinkToFit="0" vertical="center" wrapText="1"/>
    </xf>
    <xf borderId="8" fillId="0" fontId="15" numFmtId="0" xfId="0" applyAlignment="1" applyBorder="1" applyFont="1">
      <alignment horizontal="center" shrinkToFit="0" vertical="center" wrapText="1"/>
    </xf>
    <xf borderId="8" fillId="0" fontId="15" numFmtId="164" xfId="0" applyAlignment="1" applyBorder="1" applyFont="1" applyNumberFormat="1">
      <alignment shrinkToFit="0" vertical="center" wrapText="1"/>
    </xf>
    <xf borderId="8" fillId="0" fontId="10" numFmtId="166" xfId="0" applyAlignment="1" applyBorder="1" applyFont="1" applyNumberFormat="1">
      <alignment shrinkToFit="0" vertical="center" wrapText="1"/>
    </xf>
    <xf borderId="8" fillId="0" fontId="15" numFmtId="167" xfId="0" applyAlignment="1" applyBorder="1" applyFont="1" applyNumberFormat="1">
      <alignment shrinkToFit="0" vertical="center" wrapText="1"/>
    </xf>
    <xf borderId="8" fillId="0" fontId="15" numFmtId="166" xfId="0" applyAlignment="1" applyBorder="1" applyFont="1" applyNumberFormat="1">
      <alignment shrinkToFit="0" vertical="center" wrapText="1"/>
    </xf>
    <xf borderId="8" fillId="0" fontId="10" numFmtId="167" xfId="0" applyAlignment="1" applyBorder="1" applyFont="1" applyNumberFormat="1">
      <alignment shrinkToFit="0" vertical="center" wrapText="1"/>
    </xf>
    <xf borderId="8" fillId="2" fontId="10" numFmtId="168" xfId="0" applyAlignment="1" applyBorder="1" applyFill="1" applyFont="1" applyNumberFormat="1">
      <alignment horizontal="center" shrinkToFit="0" vertical="center" wrapText="1"/>
    </xf>
    <xf borderId="8" fillId="2" fontId="10" numFmtId="167" xfId="0" applyAlignment="1" applyBorder="1" applyFill="1" applyFont="1" applyNumberFormat="1">
      <alignment shrinkToFit="0" vertical="center" wrapText="1"/>
    </xf>
    <xf borderId="8" fillId="0" fontId="10" numFmtId="168" xfId="0" applyAlignment="1" applyBorder="1" applyFont="1" applyNumberFormat="1">
      <alignment horizontal="center" shrinkToFit="0" vertical="center" wrapText="1"/>
    </xf>
    <xf borderId="8" fillId="4" fontId="14" numFmtId="0" xfId="0" applyAlignment="1" applyBorder="1" applyFill="1" applyFont="1">
      <alignment shrinkToFit="0" vertical="center" wrapText="0"/>
    </xf>
    <xf borderId="8" fillId="4" fontId="14" numFmtId="167" xfId="0" applyAlignment="1" applyBorder="1" applyFill="1" applyFont="1" applyNumberFormat="1">
      <alignment shrinkToFit="0" vertical="center" wrapText="0"/>
    </xf>
    <xf borderId="8" fillId="4" fontId="14" numFmtId="165" xfId="0" applyAlignment="1" applyBorder="1" applyFill="1" applyFont="1" applyNumberFormat="1">
      <alignment shrinkToFit="0" vertical="center" wrapText="0"/>
    </xf>
    <xf borderId="8" fillId="0" fontId="10" numFmtId="2" xfId="0" applyAlignment="1" applyBorder="1" applyFont="1" applyNumberFormat="1">
      <alignment horizontal="center" shrinkToFit="0" vertical="center" wrapText="1"/>
    </xf>
    <xf borderId="7" fillId="6" fontId="2" numFmtId="164" xfId="0" applyAlignment="1" applyBorder="1" applyFill="1" applyFont="1" applyNumberFormat="1">
      <alignment shrinkToFit="0" vertical="center" wrapText="0"/>
    </xf>
    <xf borderId="7" fillId="6" fontId="2" numFmtId="166" xfId="0" applyAlignment="1" applyBorder="1" applyFill="1" applyFont="1" applyNumberFormat="1">
      <alignment shrinkToFit="0" vertical="center" wrapText="0"/>
    </xf>
    <xf borderId="8" fillId="2" fontId="15" numFmtId="166" xfId="0" applyAlignment="1" applyBorder="1" applyFill="1" applyFont="1" applyNumberFormat="1">
      <alignment shrinkToFit="0" vertical="center" wrapText="1"/>
    </xf>
    <xf borderId="8" fillId="2" fontId="15" numFmtId="169" xfId="0" applyAlignment="1" applyBorder="1" applyFill="1" applyFont="1" applyNumberFormat="1">
      <alignment shrinkToFit="0" vertical="center" wrapText="1"/>
    </xf>
    <xf borderId="8" fillId="2" fontId="10" numFmtId="169" xfId="0" applyAlignment="1" applyBorder="1" applyFill="1" applyFont="1" applyNumberFormat="1">
      <alignment shrinkToFit="0" vertical="center" wrapText="1"/>
    </xf>
    <xf borderId="8" fillId="4" fontId="14" numFmtId="164" xfId="0" applyAlignment="1" applyBorder="1" applyFill="1" applyFont="1" applyNumberFormat="1">
      <alignment shrinkToFit="0" vertical="center" wrapText="0"/>
    </xf>
    <xf borderId="8" fillId="2" fontId="10" numFmtId="9" xfId="0" applyAlignment="1" applyBorder="1" applyFill="1" applyFont="1" applyNumberFormat="1">
      <alignment horizontal="center" shrinkToFit="0" vertical="center" wrapText="1"/>
    </xf>
    <xf borderId="8" fillId="4" fontId="14" numFmtId="0" xfId="0" applyAlignment="1" applyBorder="1" applyFill="1" applyFont="1">
      <alignment shrinkToFit="0" vertical="bottom" wrapText="0"/>
    </xf>
    <xf borderId="8" fillId="4" fontId="14" numFmtId="167" xfId="0" applyAlignment="1" applyBorder="1" applyFill="1" applyFont="1" applyNumberFormat="1">
      <alignment shrinkToFit="0" vertical="bottom" wrapText="0"/>
    </xf>
    <xf borderId="8" fillId="4" fontId="14" numFmtId="165" xfId="0" applyAlignment="1" applyBorder="1" applyFill="1" applyFont="1" applyNumberFormat="1">
      <alignment shrinkToFit="0" vertical="bottom" wrapText="0"/>
    </xf>
    <xf borderId="8" fillId="4" fontId="10" numFmtId="0" xfId="0" applyAlignment="1" applyBorder="1" applyFill="1" applyFont="1">
      <alignment shrinkToFit="0" vertical="top" wrapText="1"/>
    </xf>
    <xf borderId="8" fillId="4" fontId="14" numFmtId="3" xfId="0" applyAlignment="1" applyBorder="1" applyFill="1" applyFont="1" applyNumberFormat="1">
      <alignment shrinkToFit="0" vertical="bottom" wrapText="0"/>
    </xf>
    <xf borderId="9" fillId="4" fontId="14" numFmtId="0" xfId="0" applyAlignment="1" applyBorder="1" applyFill="1" applyFont="1">
      <alignment shrinkToFit="0" vertical="bottom" wrapText="0"/>
    </xf>
    <xf borderId="10" fillId="0" fontId="12" numFmtId="0" xfId="0" applyBorder="1" applyFont="1"/>
    <xf borderId="11" fillId="0" fontId="12" numFmtId="0" xfId="0" applyBorder="1" applyFont="1"/>
    <xf borderId="7" fillId="5" fontId="13" numFmtId="0" xfId="0" applyAlignment="1" applyBorder="1" applyFill="1" applyFont="1">
      <alignment shrinkToFit="0" vertical="bottom" wrapText="0"/>
    </xf>
    <xf borderId="8" fillId="0" fontId="15" numFmtId="4" xfId="0" applyAlignment="1" applyBorder="1" applyFont="1" applyNumberFormat="1">
      <alignment horizontal="right" shrinkToFit="0" vertical="top" wrapText="0"/>
    </xf>
    <xf borderId="8" fillId="0" fontId="15" numFmtId="164" xfId="0" applyAlignment="1" applyBorder="1" applyFont="1" applyNumberFormat="1">
      <alignment horizontal="right" shrinkToFit="0" vertical="top" wrapText="0"/>
    </xf>
    <xf borderId="8" fillId="0" fontId="10" numFmtId="3" xfId="0" applyAlignment="1" applyBorder="1" applyFont="1" applyNumberFormat="1">
      <alignment horizontal="right" shrinkToFit="0" vertical="top" wrapText="0"/>
    </xf>
    <xf borderId="8" fillId="0" fontId="15" numFmtId="3" xfId="0" applyAlignment="1" applyBorder="1" applyFont="1" applyNumberFormat="1">
      <alignment horizontal="right" shrinkToFit="0" vertical="top" wrapText="0"/>
    </xf>
    <xf borderId="8" fillId="0" fontId="15" numFmtId="170" xfId="0" applyAlignment="1" applyBorder="1" applyFont="1" applyNumberFormat="1">
      <alignment horizontal="right" shrinkToFit="0" vertical="top" wrapText="0"/>
    </xf>
    <xf borderId="8" fillId="0" fontId="10" numFmtId="2" xfId="0" applyAlignment="1" applyBorder="1" applyFont="1" applyNumberFormat="1">
      <alignment horizontal="right" shrinkToFit="0" vertical="top" wrapText="0"/>
    </xf>
    <xf borderId="8" fillId="0" fontId="15" numFmtId="171" xfId="0" applyAlignment="1" applyBorder="1" applyFont="1" applyNumberFormat="1">
      <alignment horizontal="right" shrinkToFit="0" vertical="top" wrapText="0"/>
    </xf>
    <xf borderId="8" fillId="0" fontId="15" numFmtId="167" xfId="0" applyAlignment="1" applyBorder="1" applyFont="1" applyNumberFormat="1">
      <alignment horizontal="right" shrinkToFit="0" vertical="top" wrapText="0"/>
    </xf>
    <xf borderId="0" fillId="0" fontId="2" numFmtId="167" xfId="0" applyAlignment="1" applyFont="1" applyNumberFormat="1">
      <alignment shrinkToFit="0" vertical="bottom" wrapText="0"/>
    </xf>
    <xf borderId="0" fillId="0" fontId="2" numFmtId="3" xfId="0" applyAlignment="1" applyFont="1" applyNumberFormat="1">
      <alignment shrinkToFit="0" vertical="bottom" wrapText="0"/>
    </xf>
    <xf borderId="8" fillId="0" fontId="15" numFmtId="9" xfId="0" applyAlignment="1" applyBorder="1" applyFont="1" applyNumberFormat="1">
      <alignment horizontal="right" shrinkToFit="0" vertical="top" wrapText="0"/>
    </xf>
    <xf borderId="1" fillId="0" fontId="6" numFmtId="0" xfId="0" applyAlignment="1" applyBorder="1" applyFont="1">
      <alignment horizontal="left" shrinkToFit="0" vertical="center" wrapText="1"/>
    </xf>
    <xf borderId="1" fillId="4" fontId="16" numFmtId="0" xfId="0" applyAlignment="1" applyBorder="1" applyFill="1" applyFont="1">
      <alignment horizontal="center" shrinkToFit="0" vertical="center" wrapText="1"/>
    </xf>
    <xf borderId="1" fillId="0" fontId="17" numFmtId="0" xfId="0" applyAlignment="1" applyBorder="1" applyFont="1">
      <alignment horizontal="left" shrinkToFit="0" vertical="center" wrapText="1"/>
    </xf>
    <xf borderId="12" fillId="7" fontId="7" numFmtId="0" xfId="0" applyAlignment="1" applyBorder="1" applyFill="1" applyFont="1">
      <alignment shrinkToFit="0" vertical="top" wrapText="1"/>
    </xf>
    <xf borderId="13" fillId="0" fontId="12" numFmtId="0" xfId="0" applyBorder="1" applyFont="1"/>
    <xf borderId="14" fillId="0" fontId="12" numFmtId="0" xfId="0" applyBorder="1" applyFont="1"/>
    <xf borderId="15" fillId="0" fontId="12" numFmtId="0" xfId="0" applyBorder="1" applyFont="1"/>
    <xf borderId="16" fillId="0" fontId="12" numFmtId="0" xfId="0" applyBorder="1" applyFont="1"/>
    <xf borderId="17" fillId="0" fontId="1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9.xml"/><Relationship Id="rId3"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2" width="214.14"/>
    <col customWidth="1" min="3" max="6" width="8.71"/>
  </cols>
  <sheetData>
    <row r="1" ht="19.5" customHeight="1">
      <c r="A1" s="1" t="s">
        <v>0</v>
      </c>
      <c r="G1" s="2"/>
      <c r="H1" s="2"/>
      <c r="I1" s="2"/>
      <c r="J1" s="2"/>
      <c r="K1" s="2"/>
      <c r="L1" s="2"/>
      <c r="M1" s="2"/>
      <c r="N1" s="2"/>
      <c r="O1" s="2"/>
      <c r="P1" s="2"/>
      <c r="Q1" s="2"/>
      <c r="R1" s="2"/>
      <c r="S1" s="2"/>
      <c r="T1" s="2"/>
      <c r="U1" s="2"/>
      <c r="V1" s="2"/>
      <c r="W1" s="2"/>
      <c r="X1" s="2"/>
      <c r="Y1" s="2"/>
      <c r="Z1" s="2"/>
    </row>
    <row r="2" ht="25.5" customHeight="1">
      <c r="A2" s="3" t="s">
        <v>1</v>
      </c>
      <c r="G2" s="2"/>
      <c r="H2" s="2"/>
      <c r="I2" s="2"/>
      <c r="J2" s="2"/>
      <c r="K2" s="2"/>
      <c r="L2" s="2"/>
      <c r="M2" s="2"/>
      <c r="N2" s="2"/>
      <c r="O2" s="2"/>
      <c r="P2" s="2"/>
      <c r="Q2" s="2"/>
      <c r="R2" s="2"/>
      <c r="S2" s="2"/>
      <c r="T2" s="2"/>
      <c r="U2" s="2"/>
      <c r="V2" s="2"/>
      <c r="W2" s="2"/>
      <c r="X2" s="2"/>
      <c r="Y2" s="2"/>
      <c r="Z2" s="2"/>
    </row>
    <row r="3" ht="15.0" customHeight="1">
      <c r="A3" s="2"/>
      <c r="B3" s="2"/>
      <c r="C3" s="2"/>
      <c r="D3" s="2"/>
      <c r="E3" s="2"/>
      <c r="F3" s="2"/>
      <c r="G3" s="2"/>
      <c r="H3" s="2"/>
      <c r="I3" s="2"/>
      <c r="J3" s="2"/>
      <c r="K3" s="2"/>
      <c r="L3" s="2"/>
      <c r="M3" s="2"/>
      <c r="N3" s="2"/>
      <c r="O3" s="2"/>
      <c r="P3" s="2"/>
      <c r="Q3" s="2"/>
      <c r="R3" s="2"/>
      <c r="S3" s="2"/>
      <c r="T3" s="2"/>
      <c r="U3" s="2"/>
      <c r="V3" s="2"/>
      <c r="W3" s="2"/>
      <c r="X3" s="2"/>
      <c r="Y3" s="2"/>
      <c r="Z3" s="2"/>
    </row>
    <row r="4" ht="43.5" customHeight="1">
      <c r="A4" s="4" t="s">
        <v>2</v>
      </c>
      <c r="B4" s="5" t="s">
        <v>3</v>
      </c>
      <c r="C4" s="6"/>
      <c r="D4" s="6"/>
      <c r="E4" s="6"/>
      <c r="F4" s="6"/>
      <c r="G4" s="6"/>
      <c r="H4" s="6"/>
      <c r="I4" s="6"/>
      <c r="J4" s="6"/>
      <c r="K4" s="6"/>
      <c r="L4" s="6"/>
      <c r="M4" s="6"/>
      <c r="N4" s="6"/>
      <c r="O4" s="6"/>
      <c r="P4" s="6"/>
      <c r="Q4" s="6"/>
      <c r="R4" s="6"/>
      <c r="S4" s="6"/>
      <c r="T4" s="6"/>
      <c r="U4" s="6"/>
      <c r="V4" s="6"/>
      <c r="W4" s="6"/>
      <c r="X4" s="6"/>
      <c r="Y4" s="6"/>
      <c r="Z4" s="6"/>
    </row>
    <row r="5" ht="43.5" customHeight="1">
      <c r="A5" s="7" t="s">
        <v>4</v>
      </c>
      <c r="B5" s="8" t="s">
        <v>5</v>
      </c>
      <c r="C5" s="6"/>
      <c r="D5" s="6"/>
      <c r="E5" s="6"/>
      <c r="F5" s="6"/>
      <c r="G5" s="6"/>
      <c r="H5" s="6"/>
      <c r="I5" s="6"/>
      <c r="J5" s="6"/>
      <c r="K5" s="6"/>
      <c r="L5" s="6"/>
      <c r="M5" s="6"/>
      <c r="N5" s="6"/>
      <c r="O5" s="6"/>
      <c r="P5" s="6"/>
      <c r="Q5" s="6"/>
      <c r="R5" s="6"/>
      <c r="S5" s="6"/>
      <c r="T5" s="6"/>
      <c r="U5" s="6"/>
      <c r="V5" s="6"/>
      <c r="W5" s="6"/>
      <c r="X5" s="6"/>
      <c r="Y5" s="6"/>
      <c r="Z5" s="6"/>
    </row>
    <row r="6" ht="43.5" customHeight="1">
      <c r="A6" s="4" t="s">
        <v>6</v>
      </c>
      <c r="B6" s="5" t="s">
        <v>7</v>
      </c>
      <c r="C6" s="6"/>
      <c r="D6" s="6"/>
      <c r="E6" s="6"/>
      <c r="F6" s="6"/>
      <c r="G6" s="6"/>
      <c r="H6" s="6"/>
      <c r="I6" s="6"/>
      <c r="J6" s="6"/>
      <c r="K6" s="6"/>
      <c r="L6" s="6"/>
      <c r="M6" s="6"/>
      <c r="N6" s="6"/>
      <c r="O6" s="6"/>
      <c r="P6" s="6"/>
      <c r="Q6" s="6"/>
      <c r="R6" s="6"/>
      <c r="S6" s="6"/>
      <c r="T6" s="6"/>
      <c r="U6" s="6"/>
      <c r="V6" s="6"/>
      <c r="W6" s="6"/>
      <c r="X6" s="6"/>
      <c r="Y6" s="6"/>
      <c r="Z6" s="6"/>
    </row>
    <row r="7" ht="43.5" customHeight="1">
      <c r="A7" s="7" t="s">
        <v>8</v>
      </c>
      <c r="B7" s="8" t="s">
        <v>9</v>
      </c>
      <c r="C7" s="6"/>
      <c r="D7" s="6"/>
      <c r="E7" s="6"/>
      <c r="F7" s="6"/>
      <c r="G7" s="6"/>
      <c r="H7" s="6"/>
      <c r="I7" s="6"/>
      <c r="J7" s="6"/>
      <c r="K7" s="6"/>
      <c r="L7" s="6"/>
      <c r="M7" s="6"/>
      <c r="N7" s="6"/>
      <c r="O7" s="6"/>
      <c r="P7" s="6"/>
      <c r="Q7" s="6"/>
      <c r="R7" s="6"/>
      <c r="S7" s="6"/>
      <c r="T7" s="6"/>
      <c r="U7" s="6"/>
      <c r="V7" s="6"/>
      <c r="W7" s="6"/>
      <c r="X7" s="6"/>
      <c r="Y7" s="6"/>
      <c r="Z7" s="6"/>
    </row>
    <row r="8" ht="43.5" customHeight="1">
      <c r="A8" s="4" t="s">
        <v>10</v>
      </c>
      <c r="B8" s="5" t="s">
        <v>11</v>
      </c>
      <c r="C8" s="6"/>
      <c r="D8" s="6"/>
      <c r="E8" s="6"/>
      <c r="F8" s="6"/>
      <c r="G8" s="6"/>
      <c r="H8" s="6"/>
      <c r="I8" s="6"/>
      <c r="J8" s="6"/>
      <c r="K8" s="6"/>
      <c r="L8" s="6"/>
      <c r="M8" s="6"/>
      <c r="N8" s="6"/>
      <c r="O8" s="6"/>
      <c r="P8" s="6"/>
      <c r="Q8" s="6"/>
      <c r="R8" s="6"/>
      <c r="S8" s="6"/>
      <c r="T8" s="6"/>
      <c r="U8" s="6"/>
      <c r="V8" s="6"/>
      <c r="W8" s="6"/>
      <c r="X8" s="6"/>
      <c r="Y8" s="6"/>
      <c r="Z8" s="6"/>
    </row>
    <row r="9" ht="43.5" customHeight="1">
      <c r="A9" s="7" t="s">
        <v>12</v>
      </c>
      <c r="B9" s="8" t="s">
        <v>13</v>
      </c>
      <c r="C9" s="6"/>
      <c r="D9" s="6"/>
      <c r="E9" s="6"/>
      <c r="F9" s="6"/>
      <c r="G9" s="6"/>
      <c r="H9" s="6"/>
      <c r="I9" s="6"/>
      <c r="J9" s="6"/>
      <c r="K9" s="6"/>
      <c r="L9" s="6"/>
      <c r="M9" s="6"/>
      <c r="N9" s="6"/>
      <c r="O9" s="6"/>
      <c r="P9" s="6"/>
      <c r="Q9" s="6"/>
      <c r="R9" s="6"/>
      <c r="S9" s="6"/>
      <c r="T9" s="6"/>
      <c r="U9" s="6"/>
      <c r="V9" s="6"/>
      <c r="W9" s="6"/>
      <c r="X9" s="6"/>
      <c r="Y9" s="6"/>
      <c r="Z9" s="6"/>
    </row>
    <row r="10" ht="43.5" customHeight="1">
      <c r="A10" s="4" t="s">
        <v>14</v>
      </c>
      <c r="B10" s="5" t="s">
        <v>15</v>
      </c>
      <c r="C10" s="6"/>
      <c r="D10" s="6"/>
      <c r="E10" s="6"/>
      <c r="F10" s="6"/>
      <c r="G10" s="6"/>
      <c r="H10" s="6"/>
      <c r="I10" s="6"/>
      <c r="J10" s="6"/>
      <c r="K10" s="6"/>
      <c r="L10" s="6"/>
      <c r="M10" s="6"/>
      <c r="N10" s="6"/>
      <c r="O10" s="6"/>
      <c r="P10" s="6"/>
      <c r="Q10" s="6"/>
      <c r="R10" s="6"/>
      <c r="S10" s="6"/>
      <c r="T10" s="6"/>
      <c r="U10" s="6"/>
      <c r="V10" s="6"/>
      <c r="W10" s="6"/>
      <c r="X10" s="6"/>
      <c r="Y10" s="6"/>
      <c r="Z10" s="6"/>
    </row>
    <row r="11" ht="15.0"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5.0" customHeight="1">
      <c r="A12" s="9" t="s">
        <v>16</v>
      </c>
      <c r="B12" s="2"/>
      <c r="C12" s="2"/>
      <c r="D12" s="2"/>
      <c r="E12" s="2"/>
      <c r="F12" s="2"/>
      <c r="G12" s="2"/>
      <c r="H12" s="2"/>
      <c r="I12" s="2"/>
      <c r="J12" s="2"/>
      <c r="K12" s="2"/>
      <c r="L12" s="2"/>
      <c r="M12" s="2"/>
      <c r="N12" s="2"/>
      <c r="O12" s="2"/>
      <c r="P12" s="2"/>
      <c r="Q12" s="2"/>
      <c r="R12" s="2"/>
      <c r="S12" s="2"/>
      <c r="T12" s="2"/>
      <c r="U12" s="2"/>
      <c r="V12" s="2"/>
      <c r="W12" s="2"/>
      <c r="X12" s="2"/>
      <c r="Y12" s="2"/>
      <c r="Z12" s="2"/>
    </row>
    <row r="13" ht="15.0" customHeight="1">
      <c r="A13" s="10" t="s">
        <v>17</v>
      </c>
      <c r="B13" s="11" t="s">
        <v>18</v>
      </c>
      <c r="C13" s="2"/>
      <c r="D13" s="2"/>
      <c r="E13" s="2"/>
      <c r="F13" s="2"/>
      <c r="G13" s="2"/>
      <c r="H13" s="2"/>
      <c r="I13" s="2"/>
      <c r="J13" s="2"/>
      <c r="K13" s="2"/>
      <c r="L13" s="2"/>
      <c r="M13" s="2"/>
      <c r="N13" s="2"/>
      <c r="O13" s="2"/>
      <c r="P13" s="2"/>
      <c r="Q13" s="2"/>
      <c r="R13" s="2"/>
      <c r="S13" s="2"/>
      <c r="T13" s="2"/>
      <c r="U13" s="2"/>
      <c r="V13" s="2"/>
      <c r="W13" s="2"/>
      <c r="X13" s="2"/>
      <c r="Y13" s="2"/>
      <c r="Z13" s="2"/>
    </row>
    <row r="14" ht="15.0" customHeight="1">
      <c r="A14" s="12" t="s">
        <v>19</v>
      </c>
      <c r="B14" s="11" t="s">
        <v>20</v>
      </c>
      <c r="C14" s="2"/>
      <c r="D14" s="2"/>
      <c r="E14" s="2"/>
      <c r="F14" s="2"/>
      <c r="G14" s="2"/>
      <c r="H14" s="2"/>
      <c r="I14" s="2"/>
      <c r="J14" s="2"/>
      <c r="K14" s="2"/>
      <c r="L14" s="2"/>
      <c r="M14" s="2"/>
      <c r="N14" s="2"/>
      <c r="O14" s="2"/>
      <c r="P14" s="2"/>
      <c r="Q14" s="2"/>
      <c r="R14" s="2"/>
      <c r="S14" s="2"/>
      <c r="T14" s="2"/>
      <c r="U14" s="2"/>
      <c r="V14" s="2"/>
      <c r="W14" s="2"/>
      <c r="X14" s="2"/>
      <c r="Y14" s="2"/>
      <c r="Z14" s="2"/>
    </row>
    <row r="15" ht="15.0" customHeight="1">
      <c r="A15" s="13" t="s">
        <v>21</v>
      </c>
      <c r="B15" s="11" t="s">
        <v>22</v>
      </c>
      <c r="C15" s="2"/>
      <c r="D15" s="2"/>
      <c r="E15" s="2"/>
      <c r="F15" s="2"/>
      <c r="G15" s="2"/>
      <c r="H15" s="2"/>
      <c r="I15" s="2"/>
      <c r="J15" s="2"/>
      <c r="K15" s="2"/>
      <c r="L15" s="2"/>
      <c r="M15" s="2"/>
      <c r="N15" s="2"/>
      <c r="O15" s="2"/>
      <c r="P15" s="2"/>
      <c r="Q15" s="2"/>
      <c r="R15" s="2"/>
      <c r="S15" s="2"/>
      <c r="T15" s="2"/>
      <c r="U15" s="2"/>
      <c r="V15" s="2"/>
      <c r="W15" s="2"/>
      <c r="X15" s="2"/>
      <c r="Y15" s="2"/>
      <c r="Z15" s="2"/>
    </row>
    <row r="16" ht="15.0"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0"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0"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0"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0"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mergeCells count="2">
    <mergeCell ref="A1:F1"/>
    <mergeCell ref="A2:F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7.29"/>
    <col customWidth="1" min="2" max="2" width="61.71"/>
    <col customWidth="1" min="3" max="3" width="13.0"/>
    <col customWidth="1" min="4" max="4" width="15.57"/>
    <col customWidth="1" min="5" max="5" width="11.0"/>
    <col customWidth="1" min="6" max="6" width="31.0"/>
    <col customWidth="1" min="7" max="7" width="70.14"/>
    <col customWidth="1" min="8" max="8" width="11.0"/>
    <col customWidth="1" min="9" max="9" width="11.86"/>
    <col customWidth="1" min="10" max="10" width="8.43"/>
    <col customWidth="1" min="11" max="11" width="9.71"/>
    <col customWidth="1" min="12" max="12" width="15.0"/>
  </cols>
  <sheetData>
    <row r="1" ht="30.75" customHeight="1">
      <c r="A1" s="14" t="s">
        <v>23</v>
      </c>
      <c r="H1" s="2"/>
      <c r="I1" s="2"/>
      <c r="J1" s="2"/>
      <c r="K1" s="2"/>
      <c r="L1" s="2"/>
      <c r="M1" s="2"/>
      <c r="N1" s="2"/>
      <c r="O1" s="2"/>
      <c r="P1" s="2"/>
      <c r="Q1" s="2"/>
      <c r="R1" s="2"/>
      <c r="S1" s="2"/>
      <c r="T1" s="2"/>
      <c r="U1" s="2"/>
      <c r="V1" s="2"/>
      <c r="W1" s="2"/>
      <c r="X1" s="2"/>
      <c r="Y1" s="2"/>
      <c r="Z1" s="2"/>
    </row>
    <row r="2" ht="30.75" customHeight="1">
      <c r="A2" s="15" t="s">
        <v>24</v>
      </c>
      <c r="H2" s="2"/>
      <c r="I2" s="2"/>
      <c r="J2" s="2"/>
      <c r="K2" s="2"/>
      <c r="L2" s="2"/>
      <c r="M2" s="2"/>
      <c r="N2" s="2"/>
      <c r="O2" s="2"/>
      <c r="P2" s="2"/>
      <c r="Q2" s="2"/>
      <c r="R2" s="2"/>
      <c r="S2" s="2"/>
      <c r="T2" s="2"/>
      <c r="U2" s="2"/>
      <c r="V2" s="2"/>
      <c r="W2" s="2"/>
      <c r="X2" s="2"/>
      <c r="Y2" s="2"/>
      <c r="Z2" s="2"/>
    </row>
    <row r="3" ht="12.0" customHeight="1">
      <c r="A3" s="2"/>
      <c r="B3" s="2"/>
      <c r="C3" s="2"/>
      <c r="D3" s="2"/>
      <c r="E3" s="2"/>
      <c r="F3" s="2"/>
      <c r="G3" s="2"/>
      <c r="H3" s="2"/>
      <c r="I3" s="2"/>
      <c r="J3" s="2"/>
      <c r="K3" s="2"/>
      <c r="L3" s="2"/>
      <c r="M3" s="2"/>
      <c r="N3" s="2"/>
      <c r="O3" s="2"/>
      <c r="P3" s="2"/>
      <c r="Q3" s="2"/>
      <c r="R3" s="2"/>
      <c r="S3" s="2"/>
      <c r="T3" s="2"/>
      <c r="U3" s="2"/>
      <c r="V3" s="2"/>
      <c r="W3" s="2"/>
      <c r="X3" s="2"/>
      <c r="Y3" s="2"/>
      <c r="Z3" s="2"/>
    </row>
    <row r="4" ht="41.25" customHeight="1">
      <c r="A4" s="16" t="s">
        <v>25</v>
      </c>
      <c r="B4" s="16" t="s">
        <v>26</v>
      </c>
      <c r="C4" s="16" t="s">
        <v>27</v>
      </c>
      <c r="D4" s="16" t="s">
        <v>28</v>
      </c>
      <c r="E4" s="16" t="s">
        <v>29</v>
      </c>
      <c r="F4" s="16" t="s">
        <v>30</v>
      </c>
      <c r="G4" s="16" t="s">
        <v>31</v>
      </c>
      <c r="H4" s="16" t="s">
        <v>32</v>
      </c>
      <c r="I4" s="16" t="s">
        <v>33</v>
      </c>
      <c r="J4" s="16" t="s">
        <v>34</v>
      </c>
      <c r="K4" s="16" t="s">
        <v>35</v>
      </c>
      <c r="L4" s="16" t="s">
        <v>36</v>
      </c>
      <c r="M4" s="2"/>
      <c r="N4" s="2"/>
      <c r="O4" s="2"/>
      <c r="P4" s="2"/>
      <c r="Q4" s="2"/>
      <c r="R4" s="2"/>
      <c r="S4" s="2"/>
      <c r="T4" s="2"/>
      <c r="U4" s="2"/>
      <c r="V4" s="2"/>
      <c r="W4" s="2"/>
      <c r="X4" s="2"/>
      <c r="Y4" s="2"/>
      <c r="Z4" s="2"/>
    </row>
    <row r="5" ht="72.0" customHeight="1">
      <c r="A5" s="17" t="s">
        <v>37</v>
      </c>
      <c r="B5" s="17" t="s">
        <v>38</v>
      </c>
      <c r="C5" s="17" t="s">
        <v>39</v>
      </c>
      <c r="D5" s="17"/>
      <c r="E5" s="17" t="s">
        <v>40</v>
      </c>
      <c r="F5" s="17" t="s">
        <v>41</v>
      </c>
      <c r="G5" s="17" t="s">
        <v>42</v>
      </c>
      <c r="H5" s="17" t="s">
        <v>43</v>
      </c>
      <c r="I5" s="17" t="s">
        <v>44</v>
      </c>
      <c r="J5" s="17">
        <v>1.0</v>
      </c>
      <c r="K5" s="17" t="s">
        <v>45</v>
      </c>
      <c r="L5" s="18" t="str">
        <f t="shared" ref="L5:L201" si="1">IF($A5="","",IF(COUNTBLANK($B5:$C5)+COUNTBLANK($E5:$H5)&gt;0,"Faltan campos",IF(AND($C5="No funcional",$D5=""),"Falta categoría",IF($K5="","Falta definir si integra el MVP","Fila completa"))))</f>
        <v>Fila completa</v>
      </c>
      <c r="M5" s="2"/>
      <c r="N5" s="2"/>
      <c r="O5" s="2"/>
      <c r="P5" s="2"/>
      <c r="Q5" s="2"/>
      <c r="R5" s="2"/>
      <c r="S5" s="2"/>
      <c r="T5" s="2"/>
      <c r="U5" s="2"/>
      <c r="V5" s="2"/>
      <c r="W5" s="2"/>
      <c r="X5" s="2"/>
      <c r="Y5" s="2"/>
      <c r="Z5" s="2"/>
    </row>
    <row r="6" ht="72.0" customHeight="1">
      <c r="A6" s="19" t="s">
        <v>46</v>
      </c>
      <c r="B6" s="19" t="s">
        <v>47</v>
      </c>
      <c r="C6" s="19" t="s">
        <v>39</v>
      </c>
      <c r="D6" s="19"/>
      <c r="E6" s="19" t="s">
        <v>40</v>
      </c>
      <c r="F6" s="19" t="s">
        <v>48</v>
      </c>
      <c r="G6" s="19" t="s">
        <v>49</v>
      </c>
      <c r="H6" s="19" t="s">
        <v>50</v>
      </c>
      <c r="I6" s="19" t="s">
        <v>44</v>
      </c>
      <c r="J6" s="19">
        <v>1.0</v>
      </c>
      <c r="K6" s="19" t="s">
        <v>45</v>
      </c>
      <c r="L6" s="18" t="str">
        <f t="shared" si="1"/>
        <v>Fila completa</v>
      </c>
      <c r="M6" s="2"/>
      <c r="N6" s="2"/>
      <c r="O6" s="2"/>
      <c r="P6" s="2"/>
      <c r="Q6" s="2"/>
      <c r="R6" s="2"/>
      <c r="S6" s="2"/>
      <c r="T6" s="2"/>
      <c r="U6" s="2"/>
      <c r="V6" s="2"/>
      <c r="W6" s="2"/>
      <c r="X6" s="2"/>
      <c r="Y6" s="2"/>
      <c r="Z6" s="2"/>
    </row>
    <row r="7" ht="72.0" customHeight="1">
      <c r="A7" s="17" t="s">
        <v>51</v>
      </c>
      <c r="B7" s="17" t="s">
        <v>52</v>
      </c>
      <c r="C7" s="17" t="s">
        <v>39</v>
      </c>
      <c r="D7" s="17"/>
      <c r="E7" s="17" t="s">
        <v>40</v>
      </c>
      <c r="F7" s="17" t="s">
        <v>53</v>
      </c>
      <c r="G7" s="17" t="s">
        <v>54</v>
      </c>
      <c r="H7" s="17" t="s">
        <v>55</v>
      </c>
      <c r="I7" s="17" t="s">
        <v>44</v>
      </c>
      <c r="J7" s="17">
        <v>2.0</v>
      </c>
      <c r="K7" s="17" t="s">
        <v>45</v>
      </c>
      <c r="L7" s="18" t="str">
        <f t="shared" si="1"/>
        <v>Fila completa</v>
      </c>
      <c r="M7" s="2"/>
      <c r="N7" s="2"/>
      <c r="O7" s="2"/>
      <c r="P7" s="2"/>
      <c r="Q7" s="2"/>
      <c r="R7" s="2"/>
      <c r="S7" s="2"/>
      <c r="T7" s="2"/>
      <c r="U7" s="2"/>
      <c r="V7" s="2"/>
      <c r="W7" s="2"/>
      <c r="X7" s="2"/>
      <c r="Y7" s="2"/>
      <c r="Z7" s="2"/>
    </row>
    <row r="8" ht="72.0" customHeight="1">
      <c r="A8" s="19" t="s">
        <v>56</v>
      </c>
      <c r="B8" s="19" t="s">
        <v>57</v>
      </c>
      <c r="C8" s="19" t="s">
        <v>39</v>
      </c>
      <c r="D8" s="19"/>
      <c r="E8" s="19" t="s">
        <v>40</v>
      </c>
      <c r="F8" s="19" t="s">
        <v>58</v>
      </c>
      <c r="G8" s="19" t="s">
        <v>59</v>
      </c>
      <c r="H8" s="19" t="s">
        <v>60</v>
      </c>
      <c r="I8" s="19" t="s">
        <v>44</v>
      </c>
      <c r="J8" s="19">
        <v>2.0</v>
      </c>
      <c r="K8" s="19" t="s">
        <v>45</v>
      </c>
      <c r="L8" s="18" t="str">
        <f t="shared" si="1"/>
        <v>Fila completa</v>
      </c>
      <c r="M8" s="2"/>
      <c r="N8" s="2"/>
      <c r="O8" s="2"/>
      <c r="P8" s="2"/>
      <c r="Q8" s="2"/>
      <c r="R8" s="2"/>
      <c r="S8" s="2"/>
      <c r="T8" s="2"/>
      <c r="U8" s="2"/>
      <c r="V8" s="2"/>
      <c r="W8" s="2"/>
      <c r="X8" s="2"/>
      <c r="Y8" s="2"/>
      <c r="Z8" s="2"/>
    </row>
    <row r="9" ht="72.0" customHeight="1">
      <c r="A9" s="17" t="s">
        <v>61</v>
      </c>
      <c r="B9" s="17" t="s">
        <v>62</v>
      </c>
      <c r="C9" s="17" t="s">
        <v>39</v>
      </c>
      <c r="D9" s="17"/>
      <c r="E9" s="17" t="s">
        <v>63</v>
      </c>
      <c r="F9" s="17" t="s">
        <v>64</v>
      </c>
      <c r="G9" s="17" t="s">
        <v>65</v>
      </c>
      <c r="H9" s="17" t="s">
        <v>66</v>
      </c>
      <c r="I9" s="17" t="s">
        <v>44</v>
      </c>
      <c r="J9" s="17">
        <v>3.0</v>
      </c>
      <c r="K9" s="17" t="s">
        <v>67</v>
      </c>
      <c r="L9" s="18" t="str">
        <f t="shared" si="1"/>
        <v>Fila completa</v>
      </c>
      <c r="M9" s="2"/>
      <c r="N9" s="2"/>
      <c r="O9" s="2"/>
      <c r="P9" s="2"/>
      <c r="Q9" s="2"/>
      <c r="R9" s="2"/>
      <c r="S9" s="2"/>
      <c r="T9" s="2"/>
      <c r="U9" s="2"/>
      <c r="V9" s="2"/>
      <c r="W9" s="2"/>
      <c r="X9" s="2"/>
      <c r="Y9" s="2"/>
      <c r="Z9" s="2"/>
    </row>
    <row r="10" ht="72.0" customHeight="1">
      <c r="A10" s="19" t="s">
        <v>68</v>
      </c>
      <c r="B10" s="19" t="s">
        <v>69</v>
      </c>
      <c r="C10" s="19" t="s">
        <v>39</v>
      </c>
      <c r="D10" s="19"/>
      <c r="E10" s="19" t="s">
        <v>63</v>
      </c>
      <c r="F10" s="19" t="s">
        <v>70</v>
      </c>
      <c r="G10" s="19" t="s">
        <v>71</v>
      </c>
      <c r="H10" s="19" t="s">
        <v>72</v>
      </c>
      <c r="I10" s="20" t="s">
        <v>44</v>
      </c>
      <c r="J10" s="19">
        <v>3.0</v>
      </c>
      <c r="K10" s="19" t="s">
        <v>67</v>
      </c>
      <c r="L10" s="18" t="str">
        <f t="shared" si="1"/>
        <v>Fila completa</v>
      </c>
      <c r="M10" s="2"/>
      <c r="N10" s="2"/>
      <c r="O10" s="2"/>
      <c r="P10" s="2"/>
      <c r="Q10" s="2"/>
      <c r="R10" s="2"/>
      <c r="S10" s="2"/>
      <c r="T10" s="2"/>
      <c r="U10" s="2"/>
      <c r="V10" s="2"/>
      <c r="W10" s="2"/>
      <c r="X10" s="2"/>
      <c r="Y10" s="2"/>
      <c r="Z10" s="2"/>
    </row>
    <row r="11" ht="72.0" customHeight="1">
      <c r="A11" s="17" t="s">
        <v>73</v>
      </c>
      <c r="B11" s="17" t="s">
        <v>74</v>
      </c>
      <c r="C11" s="17" t="s">
        <v>39</v>
      </c>
      <c r="D11" s="17"/>
      <c r="E11" s="17" t="s">
        <v>40</v>
      </c>
      <c r="F11" s="17" t="s">
        <v>75</v>
      </c>
      <c r="G11" s="17" t="s">
        <v>76</v>
      </c>
      <c r="H11" s="17" t="s">
        <v>77</v>
      </c>
      <c r="I11" s="17" t="s">
        <v>44</v>
      </c>
      <c r="J11" s="17">
        <v>2.0</v>
      </c>
      <c r="K11" s="17" t="s">
        <v>45</v>
      </c>
      <c r="L11" s="18" t="str">
        <f t="shared" si="1"/>
        <v>Fila completa</v>
      </c>
      <c r="M11" s="2"/>
      <c r="N11" s="2"/>
      <c r="O11" s="2"/>
      <c r="P11" s="2"/>
      <c r="Q11" s="2"/>
      <c r="R11" s="2"/>
      <c r="S11" s="2"/>
      <c r="T11" s="2"/>
      <c r="U11" s="2"/>
      <c r="V11" s="2"/>
      <c r="W11" s="2"/>
      <c r="X11" s="2"/>
      <c r="Y11" s="2"/>
      <c r="Z11" s="2"/>
    </row>
    <row r="12" ht="72.0" customHeight="1">
      <c r="A12" s="19" t="s">
        <v>78</v>
      </c>
      <c r="B12" s="19" t="s">
        <v>79</v>
      </c>
      <c r="C12" s="19" t="s">
        <v>39</v>
      </c>
      <c r="D12" s="19"/>
      <c r="E12" s="19" t="s">
        <v>40</v>
      </c>
      <c r="F12" s="19" t="s">
        <v>80</v>
      </c>
      <c r="G12" s="19" t="s">
        <v>81</v>
      </c>
      <c r="H12" s="19" t="s">
        <v>82</v>
      </c>
      <c r="I12" s="19" t="s">
        <v>44</v>
      </c>
      <c r="J12" s="19">
        <v>1.0</v>
      </c>
      <c r="K12" s="19" t="s">
        <v>45</v>
      </c>
      <c r="L12" s="18" t="str">
        <f t="shared" si="1"/>
        <v>Fila completa</v>
      </c>
      <c r="M12" s="2"/>
      <c r="N12" s="2"/>
      <c r="O12" s="2"/>
      <c r="P12" s="2"/>
      <c r="Q12" s="2"/>
      <c r="R12" s="2"/>
      <c r="S12" s="2"/>
      <c r="T12" s="2"/>
      <c r="U12" s="2"/>
      <c r="V12" s="2"/>
      <c r="W12" s="2"/>
      <c r="X12" s="2"/>
      <c r="Y12" s="2"/>
      <c r="Z12" s="2"/>
    </row>
    <row r="13" ht="72.0" customHeight="1">
      <c r="A13" s="17" t="s">
        <v>83</v>
      </c>
      <c r="B13" s="17" t="s">
        <v>84</v>
      </c>
      <c r="C13" s="17" t="s">
        <v>39</v>
      </c>
      <c r="D13" s="17"/>
      <c r="E13" s="17" t="s">
        <v>63</v>
      </c>
      <c r="F13" s="17" t="s">
        <v>85</v>
      </c>
      <c r="G13" s="17" t="s">
        <v>86</v>
      </c>
      <c r="H13" s="17" t="s">
        <v>87</v>
      </c>
      <c r="I13" s="17" t="s">
        <v>44</v>
      </c>
      <c r="J13" s="17">
        <v>4.0</v>
      </c>
      <c r="K13" s="17" t="s">
        <v>67</v>
      </c>
      <c r="L13" s="18" t="str">
        <f t="shared" si="1"/>
        <v>Fila completa</v>
      </c>
      <c r="M13" s="2"/>
      <c r="N13" s="2"/>
      <c r="O13" s="2"/>
      <c r="P13" s="2"/>
      <c r="Q13" s="2"/>
      <c r="R13" s="2"/>
      <c r="S13" s="2"/>
      <c r="T13" s="2"/>
      <c r="U13" s="2"/>
      <c r="V13" s="2"/>
      <c r="W13" s="2"/>
      <c r="X13" s="2"/>
      <c r="Y13" s="2"/>
      <c r="Z13" s="2"/>
    </row>
    <row r="14" ht="72.0" customHeight="1">
      <c r="A14" s="19" t="s">
        <v>88</v>
      </c>
      <c r="B14" s="19" t="s">
        <v>89</v>
      </c>
      <c r="C14" s="19" t="s">
        <v>39</v>
      </c>
      <c r="D14" s="19"/>
      <c r="E14" s="19" t="s">
        <v>63</v>
      </c>
      <c r="F14" s="19" t="s">
        <v>90</v>
      </c>
      <c r="G14" s="19" t="s">
        <v>91</v>
      </c>
      <c r="H14" s="19" t="s">
        <v>92</v>
      </c>
      <c r="I14" s="19" t="s">
        <v>44</v>
      </c>
      <c r="J14" s="19">
        <v>3.0</v>
      </c>
      <c r="K14" s="19" t="s">
        <v>67</v>
      </c>
      <c r="L14" s="18" t="str">
        <f t="shared" si="1"/>
        <v>Fila completa</v>
      </c>
      <c r="M14" s="2"/>
      <c r="N14" s="2"/>
      <c r="O14" s="2"/>
      <c r="P14" s="2"/>
      <c r="Q14" s="2"/>
      <c r="R14" s="2"/>
      <c r="S14" s="2"/>
      <c r="T14" s="2"/>
      <c r="U14" s="2"/>
      <c r="V14" s="2"/>
      <c r="W14" s="2"/>
      <c r="X14" s="2"/>
      <c r="Y14" s="2"/>
      <c r="Z14" s="2"/>
    </row>
    <row r="15" ht="72.0" customHeight="1">
      <c r="A15" s="17" t="s">
        <v>93</v>
      </c>
      <c r="B15" s="17" t="s">
        <v>94</v>
      </c>
      <c r="C15" s="17" t="s">
        <v>39</v>
      </c>
      <c r="D15" s="17"/>
      <c r="E15" s="17" t="s">
        <v>40</v>
      </c>
      <c r="F15" s="17" t="s">
        <v>95</v>
      </c>
      <c r="G15" s="17" t="s">
        <v>96</v>
      </c>
      <c r="H15" s="17" t="s">
        <v>97</v>
      </c>
      <c r="I15" s="17" t="s">
        <v>44</v>
      </c>
      <c r="J15" s="17">
        <v>1.0</v>
      </c>
      <c r="K15" s="17" t="s">
        <v>45</v>
      </c>
      <c r="L15" s="18" t="str">
        <f t="shared" si="1"/>
        <v>Fila completa</v>
      </c>
      <c r="M15" s="2"/>
      <c r="N15" s="2"/>
      <c r="O15" s="2"/>
      <c r="P15" s="2"/>
      <c r="Q15" s="2"/>
      <c r="R15" s="2"/>
      <c r="S15" s="2"/>
      <c r="T15" s="2"/>
      <c r="U15" s="2"/>
      <c r="V15" s="2"/>
      <c r="W15" s="2"/>
      <c r="X15" s="2"/>
      <c r="Y15" s="2"/>
      <c r="Z15" s="2"/>
    </row>
    <row r="16" ht="72.0" customHeight="1">
      <c r="A16" s="19" t="s">
        <v>98</v>
      </c>
      <c r="B16" s="19" t="s">
        <v>99</v>
      </c>
      <c r="C16" s="19" t="s">
        <v>39</v>
      </c>
      <c r="D16" s="19"/>
      <c r="E16" s="19" t="s">
        <v>40</v>
      </c>
      <c r="F16" s="19" t="s">
        <v>100</v>
      </c>
      <c r="G16" s="19" t="s">
        <v>101</v>
      </c>
      <c r="H16" s="19" t="s">
        <v>102</v>
      </c>
      <c r="I16" s="19" t="s">
        <v>44</v>
      </c>
      <c r="J16" s="19">
        <v>2.0</v>
      </c>
      <c r="K16" s="19" t="s">
        <v>45</v>
      </c>
      <c r="L16" s="18" t="str">
        <f t="shared" si="1"/>
        <v>Fila completa</v>
      </c>
      <c r="M16" s="2"/>
      <c r="N16" s="2"/>
      <c r="O16" s="2"/>
      <c r="P16" s="2"/>
      <c r="Q16" s="2"/>
      <c r="R16" s="2"/>
      <c r="S16" s="2"/>
      <c r="T16" s="2"/>
      <c r="U16" s="2"/>
      <c r="V16" s="2"/>
      <c r="W16" s="2"/>
      <c r="X16" s="2"/>
      <c r="Y16" s="2"/>
      <c r="Z16" s="2"/>
    </row>
    <row r="17" ht="72.0" customHeight="1">
      <c r="A17" s="17" t="s">
        <v>103</v>
      </c>
      <c r="B17" s="17" t="s">
        <v>104</v>
      </c>
      <c r="C17" s="17" t="s">
        <v>105</v>
      </c>
      <c r="D17" s="17" t="s">
        <v>106</v>
      </c>
      <c r="E17" s="17" t="s">
        <v>40</v>
      </c>
      <c r="F17" s="17" t="s">
        <v>107</v>
      </c>
      <c r="G17" s="17" t="s">
        <v>108</v>
      </c>
      <c r="H17" s="17" t="s">
        <v>109</v>
      </c>
      <c r="I17" s="17" t="s">
        <v>110</v>
      </c>
      <c r="J17" s="17">
        <v>2.0</v>
      </c>
      <c r="K17" s="17" t="s">
        <v>45</v>
      </c>
      <c r="L17" s="18" t="str">
        <f t="shared" si="1"/>
        <v>Fila completa</v>
      </c>
      <c r="M17" s="2"/>
      <c r="N17" s="2"/>
      <c r="O17" s="2"/>
      <c r="P17" s="2"/>
      <c r="Q17" s="2"/>
      <c r="R17" s="2"/>
      <c r="S17" s="2"/>
      <c r="T17" s="2"/>
      <c r="U17" s="2"/>
      <c r="V17" s="2"/>
      <c r="W17" s="2"/>
      <c r="X17" s="2"/>
      <c r="Y17" s="2"/>
      <c r="Z17" s="2"/>
    </row>
    <row r="18" ht="72.0" customHeight="1">
      <c r="A18" s="19" t="s">
        <v>111</v>
      </c>
      <c r="B18" s="19" t="s">
        <v>112</v>
      </c>
      <c r="C18" s="19" t="s">
        <v>105</v>
      </c>
      <c r="D18" s="19" t="s">
        <v>113</v>
      </c>
      <c r="E18" s="19" t="s">
        <v>40</v>
      </c>
      <c r="F18" s="19" t="s">
        <v>114</v>
      </c>
      <c r="G18" s="19" t="s">
        <v>115</v>
      </c>
      <c r="H18" s="19" t="s">
        <v>116</v>
      </c>
      <c r="I18" s="19" t="s">
        <v>44</v>
      </c>
      <c r="J18" s="19">
        <v>1.0</v>
      </c>
      <c r="K18" s="19" t="s">
        <v>45</v>
      </c>
      <c r="L18" s="18" t="str">
        <f t="shared" si="1"/>
        <v>Fila completa</v>
      </c>
      <c r="M18" s="2"/>
      <c r="N18" s="2"/>
      <c r="O18" s="2"/>
      <c r="P18" s="2"/>
      <c r="Q18" s="2"/>
      <c r="R18" s="2"/>
      <c r="S18" s="2"/>
      <c r="T18" s="2"/>
      <c r="U18" s="2"/>
      <c r="V18" s="2"/>
      <c r="W18" s="2"/>
      <c r="X18" s="2"/>
      <c r="Y18" s="2"/>
      <c r="Z18" s="2"/>
    </row>
    <row r="19" ht="72.0" customHeight="1">
      <c r="A19" s="17" t="s">
        <v>117</v>
      </c>
      <c r="B19" s="17" t="s">
        <v>118</v>
      </c>
      <c r="C19" s="17" t="s">
        <v>105</v>
      </c>
      <c r="D19" s="17" t="s">
        <v>119</v>
      </c>
      <c r="E19" s="17" t="s">
        <v>40</v>
      </c>
      <c r="F19" s="17" t="s">
        <v>120</v>
      </c>
      <c r="G19" s="17" t="s">
        <v>121</v>
      </c>
      <c r="H19" s="17" t="s">
        <v>77</v>
      </c>
      <c r="I19" s="17" t="s">
        <v>44</v>
      </c>
      <c r="J19" s="17">
        <v>2.0</v>
      </c>
      <c r="K19" s="17" t="s">
        <v>45</v>
      </c>
      <c r="L19" s="18" t="str">
        <f t="shared" si="1"/>
        <v>Fila completa</v>
      </c>
      <c r="M19" s="2"/>
      <c r="N19" s="2"/>
      <c r="O19" s="2"/>
      <c r="P19" s="2"/>
      <c r="Q19" s="2"/>
      <c r="R19" s="2"/>
      <c r="S19" s="2"/>
      <c r="T19" s="2"/>
      <c r="U19" s="2"/>
      <c r="V19" s="2"/>
      <c r="W19" s="2"/>
      <c r="X19" s="2"/>
      <c r="Y19" s="2"/>
      <c r="Z19" s="2"/>
    </row>
    <row r="20" ht="72.0" customHeight="1">
      <c r="A20" s="19" t="s">
        <v>122</v>
      </c>
      <c r="B20" s="19" t="s">
        <v>123</v>
      </c>
      <c r="C20" s="19" t="s">
        <v>105</v>
      </c>
      <c r="D20" s="19" t="s">
        <v>124</v>
      </c>
      <c r="E20" s="19" t="s">
        <v>40</v>
      </c>
      <c r="F20" s="19" t="s">
        <v>125</v>
      </c>
      <c r="G20" s="19" t="s">
        <v>126</v>
      </c>
      <c r="H20" s="19" t="s">
        <v>55</v>
      </c>
      <c r="I20" s="19" t="s">
        <v>44</v>
      </c>
      <c r="J20" s="19">
        <v>2.0</v>
      </c>
      <c r="K20" s="19" t="s">
        <v>45</v>
      </c>
      <c r="L20" s="18" t="str">
        <f t="shared" si="1"/>
        <v>Fila completa</v>
      </c>
      <c r="M20" s="2"/>
      <c r="N20" s="2"/>
      <c r="O20" s="2"/>
      <c r="P20" s="2"/>
      <c r="Q20" s="2"/>
      <c r="R20" s="2"/>
      <c r="S20" s="2"/>
      <c r="T20" s="2"/>
      <c r="U20" s="2"/>
      <c r="V20" s="2"/>
      <c r="W20" s="2"/>
      <c r="X20" s="2"/>
      <c r="Y20" s="2"/>
      <c r="Z20" s="2"/>
    </row>
    <row r="21" ht="72.0" customHeight="1">
      <c r="A21" s="17" t="s">
        <v>127</v>
      </c>
      <c r="B21" s="17" t="s">
        <v>128</v>
      </c>
      <c r="C21" s="17" t="s">
        <v>105</v>
      </c>
      <c r="D21" s="17" t="s">
        <v>124</v>
      </c>
      <c r="E21" s="17" t="s">
        <v>63</v>
      </c>
      <c r="F21" s="17" t="s">
        <v>129</v>
      </c>
      <c r="G21" s="17" t="s">
        <v>130</v>
      </c>
      <c r="H21" s="17" t="s">
        <v>87</v>
      </c>
      <c r="I21" s="17" t="s">
        <v>44</v>
      </c>
      <c r="J21" s="17">
        <v>4.0</v>
      </c>
      <c r="K21" s="17" t="s">
        <v>67</v>
      </c>
      <c r="L21" s="18" t="str">
        <f t="shared" si="1"/>
        <v>Fila completa</v>
      </c>
      <c r="M21" s="2"/>
      <c r="N21" s="2"/>
      <c r="O21" s="2"/>
      <c r="P21" s="2"/>
      <c r="Q21" s="2"/>
      <c r="R21" s="2"/>
      <c r="S21" s="2"/>
      <c r="T21" s="2"/>
      <c r="U21" s="2"/>
      <c r="V21" s="2"/>
      <c r="W21" s="2"/>
      <c r="X21" s="2"/>
      <c r="Y21" s="2"/>
      <c r="Z21" s="2"/>
    </row>
    <row r="22" ht="33.75" customHeight="1">
      <c r="A22" s="21"/>
      <c r="B22" s="21"/>
      <c r="C22" s="21"/>
      <c r="D22" s="21"/>
      <c r="E22" s="21"/>
      <c r="F22" s="21"/>
      <c r="G22" s="21"/>
      <c r="H22" s="21"/>
      <c r="I22" s="21"/>
      <c r="J22" s="21"/>
      <c r="K22" s="21"/>
      <c r="L22" s="22" t="str">
        <f t="shared" si="1"/>
        <v/>
      </c>
      <c r="M22" s="2"/>
      <c r="N22" s="2"/>
      <c r="O22" s="2"/>
      <c r="P22" s="2"/>
      <c r="Q22" s="2"/>
      <c r="R22" s="2"/>
      <c r="S22" s="2"/>
      <c r="T22" s="2"/>
      <c r="U22" s="2"/>
      <c r="V22" s="2"/>
      <c r="W22" s="2"/>
      <c r="X22" s="2"/>
      <c r="Y22" s="2"/>
      <c r="Z22" s="2"/>
    </row>
    <row r="23" ht="33.75" customHeight="1">
      <c r="A23" s="23"/>
      <c r="B23" s="23"/>
      <c r="C23" s="23"/>
      <c r="D23" s="23"/>
      <c r="E23" s="23"/>
      <c r="F23" s="23"/>
      <c r="G23" s="23"/>
      <c r="H23" s="23"/>
      <c r="I23" s="23"/>
      <c r="J23" s="23"/>
      <c r="K23" s="23"/>
      <c r="L23" s="22" t="str">
        <f t="shared" si="1"/>
        <v/>
      </c>
      <c r="M23" s="2"/>
      <c r="N23" s="2"/>
      <c r="O23" s="2"/>
      <c r="P23" s="2"/>
      <c r="Q23" s="2"/>
      <c r="R23" s="2"/>
      <c r="S23" s="2"/>
      <c r="T23" s="2"/>
      <c r="U23" s="2"/>
      <c r="V23" s="2"/>
      <c r="W23" s="2"/>
      <c r="X23" s="2"/>
      <c r="Y23" s="2"/>
      <c r="Z23" s="2"/>
    </row>
    <row r="24" ht="33.75" customHeight="1">
      <c r="A24" s="21"/>
      <c r="B24" s="21"/>
      <c r="C24" s="21"/>
      <c r="D24" s="21"/>
      <c r="E24" s="21"/>
      <c r="F24" s="21"/>
      <c r="G24" s="21"/>
      <c r="H24" s="21"/>
      <c r="I24" s="21"/>
      <c r="J24" s="21"/>
      <c r="K24" s="21"/>
      <c r="L24" s="22" t="str">
        <f t="shared" si="1"/>
        <v/>
      </c>
      <c r="M24" s="2"/>
      <c r="N24" s="2"/>
      <c r="O24" s="2"/>
      <c r="P24" s="2"/>
      <c r="Q24" s="2"/>
      <c r="R24" s="2"/>
      <c r="S24" s="2"/>
      <c r="T24" s="2"/>
      <c r="U24" s="2"/>
      <c r="V24" s="2"/>
      <c r="W24" s="2"/>
      <c r="X24" s="2"/>
      <c r="Y24" s="2"/>
      <c r="Z24" s="2"/>
    </row>
    <row r="25" ht="33.75" customHeight="1">
      <c r="A25" s="23"/>
      <c r="B25" s="23"/>
      <c r="C25" s="23"/>
      <c r="D25" s="23"/>
      <c r="E25" s="23"/>
      <c r="F25" s="23"/>
      <c r="G25" s="23"/>
      <c r="H25" s="23"/>
      <c r="I25" s="23"/>
      <c r="J25" s="23"/>
      <c r="K25" s="23"/>
      <c r="L25" s="22" t="str">
        <f t="shared" si="1"/>
        <v/>
      </c>
      <c r="M25" s="2"/>
      <c r="N25" s="2"/>
      <c r="O25" s="2"/>
      <c r="P25" s="2"/>
      <c r="Q25" s="2"/>
      <c r="R25" s="2"/>
      <c r="S25" s="2"/>
      <c r="T25" s="2"/>
      <c r="U25" s="2"/>
      <c r="V25" s="2"/>
      <c r="W25" s="2"/>
      <c r="X25" s="2"/>
      <c r="Y25" s="2"/>
      <c r="Z25" s="2"/>
    </row>
    <row r="26" ht="33.75" customHeight="1">
      <c r="A26" s="21"/>
      <c r="B26" s="21"/>
      <c r="C26" s="21"/>
      <c r="D26" s="21"/>
      <c r="E26" s="21"/>
      <c r="F26" s="21"/>
      <c r="G26" s="21"/>
      <c r="H26" s="21"/>
      <c r="I26" s="21"/>
      <c r="J26" s="21"/>
      <c r="K26" s="21"/>
      <c r="L26" s="22" t="str">
        <f t="shared" si="1"/>
        <v/>
      </c>
      <c r="M26" s="2"/>
      <c r="N26" s="2"/>
      <c r="O26" s="2"/>
      <c r="P26" s="2"/>
      <c r="Q26" s="2"/>
      <c r="R26" s="2"/>
      <c r="S26" s="2"/>
      <c r="T26" s="2"/>
      <c r="U26" s="2"/>
      <c r="V26" s="2"/>
      <c r="W26" s="2"/>
      <c r="X26" s="2"/>
      <c r="Y26" s="2"/>
      <c r="Z26" s="2"/>
    </row>
    <row r="27" ht="33.75" customHeight="1">
      <c r="A27" s="23"/>
      <c r="B27" s="23"/>
      <c r="C27" s="23"/>
      <c r="D27" s="23"/>
      <c r="E27" s="23"/>
      <c r="F27" s="23"/>
      <c r="G27" s="23"/>
      <c r="H27" s="23"/>
      <c r="I27" s="23"/>
      <c r="J27" s="23"/>
      <c r="K27" s="23"/>
      <c r="L27" s="22" t="str">
        <f t="shared" si="1"/>
        <v/>
      </c>
      <c r="M27" s="2"/>
      <c r="N27" s="2"/>
      <c r="O27" s="2"/>
      <c r="P27" s="2"/>
      <c r="Q27" s="2"/>
      <c r="R27" s="2"/>
      <c r="S27" s="2"/>
      <c r="T27" s="2"/>
      <c r="U27" s="2"/>
      <c r="V27" s="2"/>
      <c r="W27" s="2"/>
      <c r="X27" s="2"/>
      <c r="Y27" s="2"/>
      <c r="Z27" s="2"/>
    </row>
    <row r="28" ht="33.75" customHeight="1">
      <c r="A28" s="21"/>
      <c r="B28" s="21"/>
      <c r="C28" s="21"/>
      <c r="D28" s="21"/>
      <c r="E28" s="21"/>
      <c r="F28" s="21"/>
      <c r="G28" s="21"/>
      <c r="H28" s="21"/>
      <c r="I28" s="21"/>
      <c r="J28" s="21"/>
      <c r="K28" s="21"/>
      <c r="L28" s="22" t="str">
        <f t="shared" si="1"/>
        <v/>
      </c>
      <c r="M28" s="2"/>
      <c r="N28" s="2"/>
      <c r="O28" s="2"/>
      <c r="P28" s="2"/>
      <c r="Q28" s="2"/>
      <c r="R28" s="2"/>
      <c r="S28" s="2"/>
      <c r="T28" s="2"/>
      <c r="U28" s="2"/>
      <c r="V28" s="2"/>
      <c r="W28" s="2"/>
      <c r="X28" s="2"/>
      <c r="Y28" s="2"/>
      <c r="Z28" s="2"/>
    </row>
    <row r="29" ht="33.75" customHeight="1">
      <c r="A29" s="23"/>
      <c r="B29" s="23"/>
      <c r="C29" s="23"/>
      <c r="D29" s="23"/>
      <c r="E29" s="23"/>
      <c r="F29" s="23"/>
      <c r="G29" s="23"/>
      <c r="H29" s="23"/>
      <c r="I29" s="23"/>
      <c r="J29" s="23"/>
      <c r="K29" s="23"/>
      <c r="L29" s="22" t="str">
        <f t="shared" si="1"/>
        <v/>
      </c>
      <c r="M29" s="2"/>
      <c r="N29" s="2"/>
      <c r="O29" s="2"/>
      <c r="P29" s="2"/>
      <c r="Q29" s="2"/>
      <c r="R29" s="2"/>
      <c r="S29" s="2"/>
      <c r="T29" s="2"/>
      <c r="U29" s="2"/>
      <c r="V29" s="2"/>
      <c r="W29" s="2"/>
      <c r="X29" s="2"/>
      <c r="Y29" s="2"/>
      <c r="Z29" s="2"/>
    </row>
    <row r="30" ht="33.75" customHeight="1">
      <c r="A30" s="21"/>
      <c r="B30" s="21"/>
      <c r="C30" s="21"/>
      <c r="D30" s="21"/>
      <c r="E30" s="21"/>
      <c r="F30" s="21"/>
      <c r="G30" s="21"/>
      <c r="H30" s="21"/>
      <c r="I30" s="21"/>
      <c r="J30" s="21"/>
      <c r="K30" s="21"/>
      <c r="L30" s="22" t="str">
        <f t="shared" si="1"/>
        <v/>
      </c>
      <c r="M30" s="2"/>
      <c r="N30" s="2"/>
      <c r="O30" s="2"/>
      <c r="P30" s="2"/>
      <c r="Q30" s="2"/>
      <c r="R30" s="2"/>
      <c r="S30" s="2"/>
      <c r="T30" s="2"/>
      <c r="U30" s="2"/>
      <c r="V30" s="2"/>
      <c r="W30" s="2"/>
      <c r="X30" s="2"/>
      <c r="Y30" s="2"/>
      <c r="Z30" s="2"/>
    </row>
    <row r="31" ht="33.75" customHeight="1">
      <c r="A31" s="23"/>
      <c r="B31" s="23"/>
      <c r="C31" s="23"/>
      <c r="D31" s="23"/>
      <c r="E31" s="23"/>
      <c r="F31" s="23"/>
      <c r="G31" s="23"/>
      <c r="H31" s="23"/>
      <c r="I31" s="23"/>
      <c r="J31" s="23"/>
      <c r="K31" s="23"/>
      <c r="L31" s="22" t="str">
        <f t="shared" si="1"/>
        <v/>
      </c>
      <c r="M31" s="2"/>
      <c r="N31" s="2"/>
      <c r="O31" s="2"/>
      <c r="P31" s="2"/>
      <c r="Q31" s="2"/>
      <c r="R31" s="2"/>
      <c r="S31" s="2"/>
      <c r="T31" s="2"/>
      <c r="U31" s="2"/>
      <c r="V31" s="2"/>
      <c r="W31" s="2"/>
      <c r="X31" s="2"/>
      <c r="Y31" s="2"/>
      <c r="Z31" s="2"/>
    </row>
    <row r="32" ht="33.75" customHeight="1">
      <c r="A32" s="21"/>
      <c r="B32" s="21"/>
      <c r="C32" s="21"/>
      <c r="D32" s="21"/>
      <c r="E32" s="21"/>
      <c r="F32" s="21"/>
      <c r="G32" s="21"/>
      <c r="H32" s="21"/>
      <c r="I32" s="21"/>
      <c r="J32" s="21"/>
      <c r="K32" s="21"/>
      <c r="L32" s="22" t="str">
        <f t="shared" si="1"/>
        <v/>
      </c>
      <c r="M32" s="2"/>
      <c r="N32" s="2"/>
      <c r="O32" s="2"/>
      <c r="P32" s="2"/>
      <c r="Q32" s="2"/>
      <c r="R32" s="2"/>
      <c r="S32" s="2"/>
      <c r="T32" s="2"/>
      <c r="U32" s="2"/>
      <c r="V32" s="2"/>
      <c r="W32" s="2"/>
      <c r="X32" s="2"/>
      <c r="Y32" s="2"/>
      <c r="Z32" s="2"/>
    </row>
    <row r="33" ht="33.75" customHeight="1">
      <c r="A33" s="23"/>
      <c r="B33" s="23"/>
      <c r="C33" s="23"/>
      <c r="D33" s="23"/>
      <c r="E33" s="23"/>
      <c r="F33" s="23"/>
      <c r="G33" s="23"/>
      <c r="H33" s="23"/>
      <c r="I33" s="23"/>
      <c r="J33" s="23"/>
      <c r="K33" s="23"/>
      <c r="L33" s="22" t="str">
        <f t="shared" si="1"/>
        <v/>
      </c>
      <c r="M33" s="2"/>
      <c r="N33" s="2"/>
      <c r="O33" s="2"/>
      <c r="P33" s="2"/>
      <c r="Q33" s="2"/>
      <c r="R33" s="2"/>
      <c r="S33" s="2"/>
      <c r="T33" s="2"/>
      <c r="U33" s="2"/>
      <c r="V33" s="2"/>
      <c r="W33" s="2"/>
      <c r="X33" s="2"/>
      <c r="Y33" s="2"/>
      <c r="Z33" s="2"/>
    </row>
    <row r="34" ht="33.75" customHeight="1">
      <c r="A34" s="21"/>
      <c r="B34" s="21"/>
      <c r="C34" s="21"/>
      <c r="D34" s="21"/>
      <c r="E34" s="21"/>
      <c r="F34" s="21"/>
      <c r="G34" s="21"/>
      <c r="H34" s="21"/>
      <c r="I34" s="21"/>
      <c r="J34" s="21"/>
      <c r="K34" s="21"/>
      <c r="L34" s="22" t="str">
        <f t="shared" si="1"/>
        <v/>
      </c>
      <c r="M34" s="2"/>
      <c r="N34" s="2"/>
      <c r="O34" s="2"/>
      <c r="P34" s="2"/>
      <c r="Q34" s="2"/>
      <c r="R34" s="2"/>
      <c r="S34" s="2"/>
      <c r="T34" s="2"/>
      <c r="U34" s="2"/>
      <c r="V34" s="2"/>
      <c r="W34" s="2"/>
      <c r="X34" s="2"/>
      <c r="Y34" s="2"/>
      <c r="Z34" s="2"/>
    </row>
    <row r="35" ht="33.75" customHeight="1">
      <c r="A35" s="23"/>
      <c r="B35" s="23"/>
      <c r="C35" s="23"/>
      <c r="D35" s="23"/>
      <c r="E35" s="23"/>
      <c r="F35" s="23"/>
      <c r="G35" s="23"/>
      <c r="H35" s="23"/>
      <c r="I35" s="23"/>
      <c r="J35" s="23"/>
      <c r="K35" s="23"/>
      <c r="L35" s="22" t="str">
        <f t="shared" si="1"/>
        <v/>
      </c>
      <c r="M35" s="2"/>
      <c r="N35" s="2"/>
      <c r="O35" s="2"/>
      <c r="P35" s="2"/>
      <c r="Q35" s="2"/>
      <c r="R35" s="2"/>
      <c r="S35" s="2"/>
      <c r="T35" s="2"/>
      <c r="U35" s="2"/>
      <c r="V35" s="2"/>
      <c r="W35" s="2"/>
      <c r="X35" s="2"/>
      <c r="Y35" s="2"/>
      <c r="Z35" s="2"/>
    </row>
    <row r="36" ht="33.75" customHeight="1">
      <c r="A36" s="21"/>
      <c r="B36" s="21"/>
      <c r="C36" s="21"/>
      <c r="D36" s="21"/>
      <c r="E36" s="21"/>
      <c r="F36" s="21"/>
      <c r="G36" s="21"/>
      <c r="H36" s="21"/>
      <c r="I36" s="21"/>
      <c r="J36" s="21"/>
      <c r="K36" s="21"/>
      <c r="L36" s="22" t="str">
        <f t="shared" si="1"/>
        <v/>
      </c>
      <c r="M36" s="2"/>
      <c r="N36" s="2"/>
      <c r="O36" s="2"/>
      <c r="P36" s="2"/>
      <c r="Q36" s="2"/>
      <c r="R36" s="2"/>
      <c r="S36" s="2"/>
      <c r="T36" s="2"/>
      <c r="U36" s="2"/>
      <c r="V36" s="2"/>
      <c r="W36" s="2"/>
      <c r="X36" s="2"/>
      <c r="Y36" s="2"/>
      <c r="Z36" s="2"/>
    </row>
    <row r="37" ht="33.75" customHeight="1">
      <c r="A37" s="23"/>
      <c r="B37" s="23"/>
      <c r="C37" s="23"/>
      <c r="D37" s="23"/>
      <c r="E37" s="23"/>
      <c r="F37" s="23"/>
      <c r="G37" s="23"/>
      <c r="H37" s="23"/>
      <c r="I37" s="23"/>
      <c r="J37" s="23"/>
      <c r="K37" s="23"/>
      <c r="L37" s="22" t="str">
        <f t="shared" si="1"/>
        <v/>
      </c>
      <c r="M37" s="2"/>
      <c r="N37" s="2"/>
      <c r="O37" s="2"/>
      <c r="P37" s="2"/>
      <c r="Q37" s="2"/>
      <c r="R37" s="2"/>
      <c r="S37" s="2"/>
      <c r="T37" s="2"/>
      <c r="U37" s="2"/>
      <c r="V37" s="2"/>
      <c r="W37" s="2"/>
      <c r="X37" s="2"/>
      <c r="Y37" s="2"/>
      <c r="Z37" s="2"/>
    </row>
    <row r="38" ht="33.75" customHeight="1">
      <c r="A38" s="21"/>
      <c r="B38" s="21"/>
      <c r="C38" s="21"/>
      <c r="D38" s="21"/>
      <c r="E38" s="21"/>
      <c r="F38" s="21"/>
      <c r="G38" s="21"/>
      <c r="H38" s="21"/>
      <c r="I38" s="21"/>
      <c r="J38" s="21"/>
      <c r="K38" s="21"/>
      <c r="L38" s="22" t="str">
        <f t="shared" si="1"/>
        <v/>
      </c>
      <c r="M38" s="2"/>
      <c r="N38" s="2"/>
      <c r="O38" s="2"/>
      <c r="P38" s="2"/>
      <c r="Q38" s="2"/>
      <c r="R38" s="2"/>
      <c r="S38" s="2"/>
      <c r="T38" s="2"/>
      <c r="U38" s="2"/>
      <c r="V38" s="2"/>
      <c r="W38" s="2"/>
      <c r="X38" s="2"/>
      <c r="Y38" s="2"/>
      <c r="Z38" s="2"/>
    </row>
    <row r="39" ht="33.75" customHeight="1">
      <c r="A39" s="23"/>
      <c r="B39" s="23"/>
      <c r="C39" s="23"/>
      <c r="D39" s="23"/>
      <c r="E39" s="23"/>
      <c r="F39" s="23"/>
      <c r="G39" s="23"/>
      <c r="H39" s="23"/>
      <c r="I39" s="23"/>
      <c r="J39" s="23"/>
      <c r="K39" s="23"/>
      <c r="L39" s="22" t="str">
        <f t="shared" si="1"/>
        <v/>
      </c>
      <c r="M39" s="2"/>
      <c r="N39" s="2"/>
      <c r="O39" s="2"/>
      <c r="P39" s="2"/>
      <c r="Q39" s="2"/>
      <c r="R39" s="2"/>
      <c r="S39" s="2"/>
      <c r="T39" s="2"/>
      <c r="U39" s="2"/>
      <c r="V39" s="2"/>
      <c r="W39" s="2"/>
      <c r="X39" s="2"/>
      <c r="Y39" s="2"/>
      <c r="Z39" s="2"/>
    </row>
    <row r="40" ht="33.75" customHeight="1">
      <c r="A40" s="21"/>
      <c r="B40" s="21"/>
      <c r="C40" s="21"/>
      <c r="D40" s="21"/>
      <c r="E40" s="21"/>
      <c r="F40" s="21"/>
      <c r="G40" s="21"/>
      <c r="H40" s="21"/>
      <c r="I40" s="21"/>
      <c r="J40" s="21"/>
      <c r="K40" s="21"/>
      <c r="L40" s="22" t="str">
        <f t="shared" si="1"/>
        <v/>
      </c>
      <c r="M40" s="2"/>
      <c r="N40" s="2"/>
      <c r="O40" s="2"/>
      <c r="P40" s="2"/>
      <c r="Q40" s="2"/>
      <c r="R40" s="2"/>
      <c r="S40" s="2"/>
      <c r="T40" s="2"/>
      <c r="U40" s="2"/>
      <c r="V40" s="2"/>
      <c r="W40" s="2"/>
      <c r="X40" s="2"/>
      <c r="Y40" s="2"/>
      <c r="Z40" s="2"/>
    </row>
    <row r="41" ht="33.75" customHeight="1">
      <c r="A41" s="23"/>
      <c r="B41" s="23"/>
      <c r="C41" s="23"/>
      <c r="D41" s="23"/>
      <c r="E41" s="23"/>
      <c r="F41" s="23"/>
      <c r="G41" s="23"/>
      <c r="H41" s="23"/>
      <c r="I41" s="23"/>
      <c r="J41" s="23"/>
      <c r="K41" s="23"/>
      <c r="L41" s="22" t="str">
        <f t="shared" si="1"/>
        <v/>
      </c>
      <c r="M41" s="2"/>
      <c r="N41" s="2"/>
      <c r="O41" s="2"/>
      <c r="P41" s="2"/>
      <c r="Q41" s="2"/>
      <c r="R41" s="2"/>
      <c r="S41" s="2"/>
      <c r="T41" s="2"/>
      <c r="U41" s="2"/>
      <c r="V41" s="2"/>
      <c r="W41" s="2"/>
      <c r="X41" s="2"/>
      <c r="Y41" s="2"/>
      <c r="Z41" s="2"/>
    </row>
    <row r="42" ht="33.75" customHeight="1">
      <c r="A42" s="21"/>
      <c r="B42" s="21"/>
      <c r="C42" s="21"/>
      <c r="D42" s="21"/>
      <c r="E42" s="21"/>
      <c r="F42" s="21"/>
      <c r="G42" s="21"/>
      <c r="H42" s="21"/>
      <c r="I42" s="21"/>
      <c r="J42" s="21"/>
      <c r="K42" s="21"/>
      <c r="L42" s="22" t="str">
        <f t="shared" si="1"/>
        <v/>
      </c>
      <c r="M42" s="2"/>
      <c r="N42" s="2"/>
      <c r="O42" s="2"/>
      <c r="P42" s="2"/>
      <c r="Q42" s="2"/>
      <c r="R42" s="2"/>
      <c r="S42" s="2"/>
      <c r="T42" s="2"/>
      <c r="U42" s="2"/>
      <c r="V42" s="2"/>
      <c r="W42" s="2"/>
      <c r="X42" s="2"/>
      <c r="Y42" s="2"/>
      <c r="Z42" s="2"/>
    </row>
    <row r="43" ht="33.75" customHeight="1">
      <c r="A43" s="23"/>
      <c r="B43" s="23"/>
      <c r="C43" s="23"/>
      <c r="D43" s="23"/>
      <c r="E43" s="23"/>
      <c r="F43" s="23"/>
      <c r="G43" s="23"/>
      <c r="H43" s="23"/>
      <c r="I43" s="23"/>
      <c r="J43" s="23"/>
      <c r="K43" s="23"/>
      <c r="L43" s="22" t="str">
        <f t="shared" si="1"/>
        <v/>
      </c>
      <c r="M43" s="2"/>
      <c r="N43" s="2"/>
      <c r="O43" s="2"/>
      <c r="P43" s="2"/>
      <c r="Q43" s="2"/>
      <c r="R43" s="2"/>
      <c r="S43" s="2"/>
      <c r="T43" s="2"/>
      <c r="U43" s="2"/>
      <c r="V43" s="2"/>
      <c r="W43" s="2"/>
      <c r="X43" s="2"/>
      <c r="Y43" s="2"/>
      <c r="Z43" s="2"/>
    </row>
    <row r="44" ht="33.75" customHeight="1">
      <c r="A44" s="21"/>
      <c r="B44" s="21"/>
      <c r="C44" s="21"/>
      <c r="D44" s="21"/>
      <c r="E44" s="21"/>
      <c r="F44" s="21"/>
      <c r="G44" s="21"/>
      <c r="H44" s="21"/>
      <c r="I44" s="21"/>
      <c r="J44" s="21"/>
      <c r="K44" s="21"/>
      <c r="L44" s="22" t="str">
        <f t="shared" si="1"/>
        <v/>
      </c>
      <c r="M44" s="2"/>
      <c r="N44" s="2"/>
      <c r="O44" s="2"/>
      <c r="P44" s="2"/>
      <c r="Q44" s="2"/>
      <c r="R44" s="2"/>
      <c r="S44" s="2"/>
      <c r="T44" s="2"/>
      <c r="U44" s="2"/>
      <c r="V44" s="2"/>
      <c r="W44" s="2"/>
      <c r="X44" s="2"/>
      <c r="Y44" s="2"/>
      <c r="Z44" s="2"/>
    </row>
    <row r="45" ht="33.75" customHeight="1">
      <c r="A45" s="23"/>
      <c r="B45" s="23"/>
      <c r="C45" s="23"/>
      <c r="D45" s="23"/>
      <c r="E45" s="23"/>
      <c r="F45" s="23"/>
      <c r="G45" s="23"/>
      <c r="H45" s="23"/>
      <c r="I45" s="23"/>
      <c r="J45" s="23"/>
      <c r="K45" s="23"/>
      <c r="L45" s="22" t="str">
        <f t="shared" si="1"/>
        <v/>
      </c>
      <c r="M45" s="2"/>
      <c r="N45" s="2"/>
      <c r="O45" s="2"/>
      <c r="P45" s="2"/>
      <c r="Q45" s="2"/>
      <c r="R45" s="2"/>
      <c r="S45" s="2"/>
      <c r="T45" s="2"/>
      <c r="U45" s="2"/>
      <c r="V45" s="2"/>
      <c r="W45" s="2"/>
      <c r="X45" s="2"/>
      <c r="Y45" s="2"/>
      <c r="Z45" s="2"/>
    </row>
    <row r="46" ht="33.75" customHeight="1">
      <c r="A46" s="21"/>
      <c r="B46" s="21"/>
      <c r="C46" s="21"/>
      <c r="D46" s="21"/>
      <c r="E46" s="21"/>
      <c r="F46" s="21"/>
      <c r="G46" s="21"/>
      <c r="H46" s="21"/>
      <c r="I46" s="21"/>
      <c r="J46" s="21"/>
      <c r="K46" s="21"/>
      <c r="L46" s="22" t="str">
        <f t="shared" si="1"/>
        <v/>
      </c>
      <c r="M46" s="2"/>
      <c r="N46" s="2"/>
      <c r="O46" s="2"/>
      <c r="P46" s="2"/>
      <c r="Q46" s="2"/>
      <c r="R46" s="2"/>
      <c r="S46" s="2"/>
      <c r="T46" s="2"/>
      <c r="U46" s="2"/>
      <c r="V46" s="2"/>
      <c r="W46" s="2"/>
      <c r="X46" s="2"/>
      <c r="Y46" s="2"/>
      <c r="Z46" s="2"/>
    </row>
    <row r="47" ht="33.75" customHeight="1">
      <c r="A47" s="23"/>
      <c r="B47" s="23"/>
      <c r="C47" s="23"/>
      <c r="D47" s="23"/>
      <c r="E47" s="23"/>
      <c r="F47" s="23"/>
      <c r="G47" s="23"/>
      <c r="H47" s="23"/>
      <c r="I47" s="23"/>
      <c r="J47" s="23"/>
      <c r="K47" s="23"/>
      <c r="L47" s="22" t="str">
        <f t="shared" si="1"/>
        <v/>
      </c>
      <c r="M47" s="2"/>
      <c r="N47" s="2"/>
      <c r="O47" s="2"/>
      <c r="P47" s="2"/>
      <c r="Q47" s="2"/>
      <c r="R47" s="2"/>
      <c r="S47" s="2"/>
      <c r="T47" s="2"/>
      <c r="U47" s="2"/>
      <c r="V47" s="2"/>
      <c r="W47" s="2"/>
      <c r="X47" s="2"/>
      <c r="Y47" s="2"/>
      <c r="Z47" s="2"/>
    </row>
    <row r="48" ht="33.75" customHeight="1">
      <c r="A48" s="21"/>
      <c r="B48" s="21"/>
      <c r="C48" s="21"/>
      <c r="D48" s="21"/>
      <c r="E48" s="21"/>
      <c r="F48" s="21"/>
      <c r="G48" s="21"/>
      <c r="H48" s="21"/>
      <c r="I48" s="21"/>
      <c r="J48" s="21"/>
      <c r="K48" s="21"/>
      <c r="L48" s="22" t="str">
        <f t="shared" si="1"/>
        <v/>
      </c>
      <c r="M48" s="2"/>
      <c r="N48" s="2"/>
      <c r="O48" s="2"/>
      <c r="P48" s="2"/>
      <c r="Q48" s="2"/>
      <c r="R48" s="2"/>
      <c r="S48" s="2"/>
      <c r="T48" s="2"/>
      <c r="U48" s="2"/>
      <c r="V48" s="2"/>
      <c r="W48" s="2"/>
      <c r="X48" s="2"/>
      <c r="Y48" s="2"/>
      <c r="Z48" s="2"/>
    </row>
    <row r="49" ht="33.75" customHeight="1">
      <c r="A49" s="23"/>
      <c r="B49" s="23"/>
      <c r="C49" s="23"/>
      <c r="D49" s="23"/>
      <c r="E49" s="23"/>
      <c r="F49" s="23"/>
      <c r="G49" s="23"/>
      <c r="H49" s="23"/>
      <c r="I49" s="23"/>
      <c r="J49" s="23"/>
      <c r="K49" s="23"/>
      <c r="L49" s="22" t="str">
        <f t="shared" si="1"/>
        <v/>
      </c>
      <c r="M49" s="2"/>
      <c r="N49" s="2"/>
      <c r="O49" s="2"/>
      <c r="P49" s="2"/>
      <c r="Q49" s="2"/>
      <c r="R49" s="2"/>
      <c r="S49" s="2"/>
      <c r="T49" s="2"/>
      <c r="U49" s="2"/>
      <c r="V49" s="2"/>
      <c r="W49" s="2"/>
      <c r="X49" s="2"/>
      <c r="Y49" s="2"/>
      <c r="Z49" s="2"/>
    </row>
    <row r="50" ht="33.75" customHeight="1">
      <c r="A50" s="21"/>
      <c r="B50" s="21"/>
      <c r="C50" s="21"/>
      <c r="D50" s="21"/>
      <c r="E50" s="21"/>
      <c r="F50" s="21"/>
      <c r="G50" s="21"/>
      <c r="H50" s="21"/>
      <c r="I50" s="21"/>
      <c r="J50" s="21"/>
      <c r="K50" s="21"/>
      <c r="L50" s="22" t="str">
        <f t="shared" si="1"/>
        <v/>
      </c>
      <c r="M50" s="2"/>
      <c r="N50" s="2"/>
      <c r="O50" s="2"/>
      <c r="P50" s="2"/>
      <c r="Q50" s="2"/>
      <c r="R50" s="2"/>
      <c r="S50" s="2"/>
      <c r="T50" s="2"/>
      <c r="U50" s="2"/>
      <c r="V50" s="2"/>
      <c r="W50" s="2"/>
      <c r="X50" s="2"/>
      <c r="Y50" s="2"/>
      <c r="Z50" s="2"/>
    </row>
    <row r="51" ht="33.75" customHeight="1">
      <c r="A51" s="23"/>
      <c r="B51" s="23"/>
      <c r="C51" s="23"/>
      <c r="D51" s="23"/>
      <c r="E51" s="23"/>
      <c r="F51" s="23"/>
      <c r="G51" s="23"/>
      <c r="H51" s="23"/>
      <c r="I51" s="23"/>
      <c r="J51" s="23"/>
      <c r="K51" s="23"/>
      <c r="L51" s="22" t="str">
        <f t="shared" si="1"/>
        <v/>
      </c>
      <c r="M51" s="2"/>
      <c r="N51" s="2"/>
      <c r="O51" s="2"/>
      <c r="P51" s="2"/>
      <c r="Q51" s="2"/>
      <c r="R51" s="2"/>
      <c r="S51" s="2"/>
      <c r="T51" s="2"/>
      <c r="U51" s="2"/>
      <c r="V51" s="2"/>
      <c r="W51" s="2"/>
      <c r="X51" s="2"/>
      <c r="Y51" s="2"/>
      <c r="Z51" s="2"/>
    </row>
    <row r="52" ht="33.75" customHeight="1">
      <c r="A52" s="21"/>
      <c r="B52" s="21"/>
      <c r="C52" s="21"/>
      <c r="D52" s="21"/>
      <c r="E52" s="21"/>
      <c r="F52" s="21"/>
      <c r="G52" s="21"/>
      <c r="H52" s="21"/>
      <c r="I52" s="21"/>
      <c r="J52" s="21"/>
      <c r="K52" s="21"/>
      <c r="L52" s="22" t="str">
        <f t="shared" si="1"/>
        <v/>
      </c>
      <c r="M52" s="2"/>
      <c r="N52" s="2"/>
      <c r="O52" s="2"/>
      <c r="P52" s="2"/>
      <c r="Q52" s="2"/>
      <c r="R52" s="2"/>
      <c r="S52" s="2"/>
      <c r="T52" s="2"/>
      <c r="U52" s="2"/>
      <c r="V52" s="2"/>
      <c r="W52" s="2"/>
      <c r="X52" s="2"/>
      <c r="Y52" s="2"/>
      <c r="Z52" s="2"/>
    </row>
    <row r="53" ht="33.75" customHeight="1">
      <c r="A53" s="23"/>
      <c r="B53" s="23"/>
      <c r="C53" s="23"/>
      <c r="D53" s="23"/>
      <c r="E53" s="23"/>
      <c r="F53" s="23"/>
      <c r="G53" s="23"/>
      <c r="H53" s="23"/>
      <c r="I53" s="23"/>
      <c r="J53" s="23"/>
      <c r="K53" s="23"/>
      <c r="L53" s="22" t="str">
        <f t="shared" si="1"/>
        <v/>
      </c>
      <c r="M53" s="2"/>
      <c r="N53" s="2"/>
      <c r="O53" s="2"/>
      <c r="P53" s="2"/>
      <c r="Q53" s="2"/>
      <c r="R53" s="2"/>
      <c r="S53" s="2"/>
      <c r="T53" s="2"/>
      <c r="U53" s="2"/>
      <c r="V53" s="2"/>
      <c r="W53" s="2"/>
      <c r="X53" s="2"/>
      <c r="Y53" s="2"/>
      <c r="Z53" s="2"/>
    </row>
    <row r="54" ht="33.75" customHeight="1">
      <c r="A54" s="21"/>
      <c r="B54" s="21"/>
      <c r="C54" s="21"/>
      <c r="D54" s="21"/>
      <c r="E54" s="21"/>
      <c r="F54" s="21"/>
      <c r="G54" s="21"/>
      <c r="H54" s="21"/>
      <c r="I54" s="21"/>
      <c r="J54" s="21"/>
      <c r="K54" s="21"/>
      <c r="L54" s="22" t="str">
        <f t="shared" si="1"/>
        <v/>
      </c>
      <c r="M54" s="2"/>
      <c r="N54" s="2"/>
      <c r="O54" s="2"/>
      <c r="P54" s="2"/>
      <c r="Q54" s="2"/>
      <c r="R54" s="2"/>
      <c r="S54" s="2"/>
      <c r="T54" s="2"/>
      <c r="U54" s="2"/>
      <c r="V54" s="2"/>
      <c r="W54" s="2"/>
      <c r="X54" s="2"/>
      <c r="Y54" s="2"/>
      <c r="Z54" s="2"/>
    </row>
    <row r="55" ht="33.75" customHeight="1">
      <c r="A55" s="23"/>
      <c r="B55" s="23"/>
      <c r="C55" s="23"/>
      <c r="D55" s="23"/>
      <c r="E55" s="23"/>
      <c r="F55" s="23"/>
      <c r="G55" s="23"/>
      <c r="H55" s="23"/>
      <c r="I55" s="23"/>
      <c r="J55" s="23"/>
      <c r="K55" s="23"/>
      <c r="L55" s="22" t="str">
        <f t="shared" si="1"/>
        <v/>
      </c>
      <c r="M55" s="2"/>
      <c r="N55" s="2"/>
      <c r="O55" s="2"/>
      <c r="P55" s="2"/>
      <c r="Q55" s="2"/>
      <c r="R55" s="2"/>
      <c r="S55" s="2"/>
      <c r="T55" s="2"/>
      <c r="U55" s="2"/>
      <c r="V55" s="2"/>
      <c r="W55" s="2"/>
      <c r="X55" s="2"/>
      <c r="Y55" s="2"/>
      <c r="Z55" s="2"/>
    </row>
    <row r="56" ht="33.75" customHeight="1">
      <c r="A56" s="21"/>
      <c r="B56" s="21"/>
      <c r="C56" s="21"/>
      <c r="D56" s="21"/>
      <c r="E56" s="21"/>
      <c r="F56" s="21"/>
      <c r="G56" s="21"/>
      <c r="H56" s="21"/>
      <c r="I56" s="21"/>
      <c r="J56" s="21"/>
      <c r="K56" s="21"/>
      <c r="L56" s="22" t="str">
        <f t="shared" si="1"/>
        <v/>
      </c>
      <c r="M56" s="2"/>
      <c r="N56" s="2"/>
      <c r="O56" s="2"/>
      <c r="P56" s="2"/>
      <c r="Q56" s="2"/>
      <c r="R56" s="2"/>
      <c r="S56" s="2"/>
      <c r="T56" s="2"/>
      <c r="U56" s="2"/>
      <c r="V56" s="2"/>
      <c r="W56" s="2"/>
      <c r="X56" s="2"/>
      <c r="Y56" s="2"/>
      <c r="Z56" s="2"/>
    </row>
    <row r="57" ht="33.75" customHeight="1">
      <c r="A57" s="23"/>
      <c r="B57" s="23"/>
      <c r="C57" s="23"/>
      <c r="D57" s="23"/>
      <c r="E57" s="23"/>
      <c r="F57" s="23"/>
      <c r="G57" s="23"/>
      <c r="H57" s="23"/>
      <c r="I57" s="23"/>
      <c r="J57" s="23"/>
      <c r="K57" s="23"/>
      <c r="L57" s="22" t="str">
        <f t="shared" si="1"/>
        <v/>
      </c>
      <c r="M57" s="2"/>
      <c r="N57" s="2"/>
      <c r="O57" s="2"/>
      <c r="P57" s="2"/>
      <c r="Q57" s="2"/>
      <c r="R57" s="2"/>
      <c r="S57" s="2"/>
      <c r="T57" s="2"/>
      <c r="U57" s="2"/>
      <c r="V57" s="2"/>
      <c r="W57" s="2"/>
      <c r="X57" s="2"/>
      <c r="Y57" s="2"/>
      <c r="Z57" s="2"/>
    </row>
    <row r="58" ht="33.75" customHeight="1">
      <c r="A58" s="21"/>
      <c r="B58" s="21"/>
      <c r="C58" s="21"/>
      <c r="D58" s="21"/>
      <c r="E58" s="21"/>
      <c r="F58" s="21"/>
      <c r="G58" s="21"/>
      <c r="H58" s="21"/>
      <c r="I58" s="21"/>
      <c r="J58" s="21"/>
      <c r="K58" s="21"/>
      <c r="L58" s="22" t="str">
        <f t="shared" si="1"/>
        <v/>
      </c>
      <c r="M58" s="2"/>
      <c r="N58" s="2"/>
      <c r="O58" s="2"/>
      <c r="P58" s="2"/>
      <c r="Q58" s="2"/>
      <c r="R58" s="2"/>
      <c r="S58" s="2"/>
      <c r="T58" s="2"/>
      <c r="U58" s="2"/>
      <c r="V58" s="2"/>
      <c r="W58" s="2"/>
      <c r="X58" s="2"/>
      <c r="Y58" s="2"/>
      <c r="Z58" s="2"/>
    </row>
    <row r="59" ht="33.75" customHeight="1">
      <c r="A59" s="23"/>
      <c r="B59" s="23"/>
      <c r="C59" s="23"/>
      <c r="D59" s="23"/>
      <c r="E59" s="23"/>
      <c r="F59" s="23"/>
      <c r="G59" s="23"/>
      <c r="H59" s="23"/>
      <c r="I59" s="23"/>
      <c r="J59" s="23"/>
      <c r="K59" s="23"/>
      <c r="L59" s="22" t="str">
        <f t="shared" si="1"/>
        <v/>
      </c>
      <c r="M59" s="2"/>
      <c r="N59" s="2"/>
      <c r="O59" s="2"/>
      <c r="P59" s="2"/>
      <c r="Q59" s="2"/>
      <c r="R59" s="2"/>
      <c r="S59" s="2"/>
      <c r="T59" s="2"/>
      <c r="U59" s="2"/>
      <c r="V59" s="2"/>
      <c r="W59" s="2"/>
      <c r="X59" s="2"/>
      <c r="Y59" s="2"/>
      <c r="Z59" s="2"/>
    </row>
    <row r="60" ht="33.75" customHeight="1">
      <c r="A60" s="21"/>
      <c r="B60" s="21"/>
      <c r="C60" s="21"/>
      <c r="D60" s="21"/>
      <c r="E60" s="21"/>
      <c r="F60" s="21"/>
      <c r="G60" s="21"/>
      <c r="H60" s="21"/>
      <c r="I60" s="21"/>
      <c r="J60" s="21"/>
      <c r="K60" s="21"/>
      <c r="L60" s="22" t="str">
        <f t="shared" si="1"/>
        <v/>
      </c>
      <c r="M60" s="2"/>
      <c r="N60" s="2"/>
      <c r="O60" s="2"/>
      <c r="P60" s="2"/>
      <c r="Q60" s="2"/>
      <c r="R60" s="2"/>
      <c r="S60" s="2"/>
      <c r="T60" s="2"/>
      <c r="U60" s="2"/>
      <c r="V60" s="2"/>
      <c r="W60" s="2"/>
      <c r="X60" s="2"/>
      <c r="Y60" s="2"/>
      <c r="Z60" s="2"/>
    </row>
    <row r="61" ht="33.75" customHeight="1">
      <c r="A61" s="23"/>
      <c r="B61" s="23"/>
      <c r="C61" s="23"/>
      <c r="D61" s="23"/>
      <c r="E61" s="23"/>
      <c r="F61" s="23"/>
      <c r="G61" s="23"/>
      <c r="H61" s="23"/>
      <c r="I61" s="23"/>
      <c r="J61" s="23"/>
      <c r="K61" s="23"/>
      <c r="L61" s="22" t="str">
        <f t="shared" si="1"/>
        <v/>
      </c>
      <c r="M61" s="2"/>
      <c r="N61" s="2"/>
      <c r="O61" s="2"/>
      <c r="P61" s="2"/>
      <c r="Q61" s="2"/>
      <c r="R61" s="2"/>
      <c r="S61" s="2"/>
      <c r="T61" s="2"/>
      <c r="U61" s="2"/>
      <c r="V61" s="2"/>
      <c r="W61" s="2"/>
      <c r="X61" s="2"/>
      <c r="Y61" s="2"/>
      <c r="Z61" s="2"/>
    </row>
    <row r="62" ht="33.75" customHeight="1">
      <c r="A62" s="21"/>
      <c r="B62" s="21"/>
      <c r="C62" s="21"/>
      <c r="D62" s="21"/>
      <c r="E62" s="21"/>
      <c r="F62" s="21"/>
      <c r="G62" s="21"/>
      <c r="H62" s="21"/>
      <c r="I62" s="21"/>
      <c r="J62" s="21"/>
      <c r="K62" s="21"/>
      <c r="L62" s="22" t="str">
        <f t="shared" si="1"/>
        <v/>
      </c>
      <c r="M62" s="2"/>
      <c r="N62" s="2"/>
      <c r="O62" s="2"/>
      <c r="P62" s="2"/>
      <c r="Q62" s="2"/>
      <c r="R62" s="2"/>
      <c r="S62" s="2"/>
      <c r="T62" s="2"/>
      <c r="U62" s="2"/>
      <c r="V62" s="2"/>
      <c r="W62" s="2"/>
      <c r="X62" s="2"/>
      <c r="Y62" s="2"/>
      <c r="Z62" s="2"/>
    </row>
    <row r="63" ht="33.75" customHeight="1">
      <c r="A63" s="23"/>
      <c r="B63" s="23"/>
      <c r="C63" s="23"/>
      <c r="D63" s="23"/>
      <c r="E63" s="23"/>
      <c r="F63" s="23"/>
      <c r="G63" s="23"/>
      <c r="H63" s="23"/>
      <c r="I63" s="23"/>
      <c r="J63" s="23"/>
      <c r="K63" s="23"/>
      <c r="L63" s="22" t="str">
        <f t="shared" si="1"/>
        <v/>
      </c>
      <c r="M63" s="2"/>
      <c r="N63" s="2"/>
      <c r="O63" s="2"/>
      <c r="P63" s="2"/>
      <c r="Q63" s="2"/>
      <c r="R63" s="2"/>
      <c r="S63" s="2"/>
      <c r="T63" s="2"/>
      <c r="U63" s="2"/>
      <c r="V63" s="2"/>
      <c r="W63" s="2"/>
      <c r="X63" s="2"/>
      <c r="Y63" s="2"/>
      <c r="Z63" s="2"/>
    </row>
    <row r="64" ht="33.75" customHeight="1">
      <c r="A64" s="21"/>
      <c r="B64" s="21"/>
      <c r="C64" s="21"/>
      <c r="D64" s="21"/>
      <c r="E64" s="21"/>
      <c r="F64" s="21"/>
      <c r="G64" s="21"/>
      <c r="H64" s="21"/>
      <c r="I64" s="21"/>
      <c r="J64" s="21"/>
      <c r="K64" s="21"/>
      <c r="L64" s="22" t="str">
        <f t="shared" si="1"/>
        <v/>
      </c>
      <c r="M64" s="2"/>
      <c r="N64" s="2"/>
      <c r="O64" s="2"/>
      <c r="P64" s="2"/>
      <c r="Q64" s="2"/>
      <c r="R64" s="2"/>
      <c r="S64" s="2"/>
      <c r="T64" s="2"/>
      <c r="U64" s="2"/>
      <c r="V64" s="2"/>
      <c r="W64" s="2"/>
      <c r="X64" s="2"/>
      <c r="Y64" s="2"/>
      <c r="Z64" s="2"/>
    </row>
    <row r="65" ht="33.75" customHeight="1">
      <c r="A65" s="23"/>
      <c r="B65" s="23"/>
      <c r="C65" s="23"/>
      <c r="D65" s="23"/>
      <c r="E65" s="23"/>
      <c r="F65" s="23"/>
      <c r="G65" s="23"/>
      <c r="H65" s="23"/>
      <c r="I65" s="23"/>
      <c r="J65" s="23"/>
      <c r="K65" s="23"/>
      <c r="L65" s="22" t="str">
        <f t="shared" si="1"/>
        <v/>
      </c>
      <c r="M65" s="2"/>
      <c r="N65" s="2"/>
      <c r="O65" s="2"/>
      <c r="P65" s="2"/>
      <c r="Q65" s="2"/>
      <c r="R65" s="2"/>
      <c r="S65" s="2"/>
      <c r="T65" s="2"/>
      <c r="U65" s="2"/>
      <c r="V65" s="2"/>
      <c r="W65" s="2"/>
      <c r="X65" s="2"/>
      <c r="Y65" s="2"/>
      <c r="Z65" s="2"/>
    </row>
    <row r="66" ht="33.75" customHeight="1">
      <c r="A66" s="21"/>
      <c r="B66" s="21"/>
      <c r="C66" s="21"/>
      <c r="D66" s="21"/>
      <c r="E66" s="21"/>
      <c r="F66" s="21"/>
      <c r="G66" s="21"/>
      <c r="H66" s="21"/>
      <c r="I66" s="21"/>
      <c r="J66" s="21"/>
      <c r="K66" s="21"/>
      <c r="L66" s="22" t="str">
        <f t="shared" si="1"/>
        <v/>
      </c>
      <c r="M66" s="2"/>
      <c r="N66" s="2"/>
      <c r="O66" s="2"/>
      <c r="P66" s="2"/>
      <c r="Q66" s="2"/>
      <c r="R66" s="2"/>
      <c r="S66" s="2"/>
      <c r="T66" s="2"/>
      <c r="U66" s="2"/>
      <c r="V66" s="2"/>
      <c r="W66" s="2"/>
      <c r="X66" s="2"/>
      <c r="Y66" s="2"/>
      <c r="Z66" s="2"/>
    </row>
    <row r="67" ht="33.75" customHeight="1">
      <c r="A67" s="23"/>
      <c r="B67" s="23"/>
      <c r="C67" s="23"/>
      <c r="D67" s="23"/>
      <c r="E67" s="23"/>
      <c r="F67" s="23"/>
      <c r="G67" s="23"/>
      <c r="H67" s="23"/>
      <c r="I67" s="23"/>
      <c r="J67" s="23"/>
      <c r="K67" s="23"/>
      <c r="L67" s="22" t="str">
        <f t="shared" si="1"/>
        <v/>
      </c>
      <c r="M67" s="2"/>
      <c r="N67" s="2"/>
      <c r="O67" s="2"/>
      <c r="P67" s="2"/>
      <c r="Q67" s="2"/>
      <c r="R67" s="2"/>
      <c r="S67" s="2"/>
      <c r="T67" s="2"/>
      <c r="U67" s="2"/>
      <c r="V67" s="2"/>
      <c r="W67" s="2"/>
      <c r="X67" s="2"/>
      <c r="Y67" s="2"/>
      <c r="Z67" s="2"/>
    </row>
    <row r="68" ht="33.75" customHeight="1">
      <c r="A68" s="21"/>
      <c r="B68" s="21"/>
      <c r="C68" s="21"/>
      <c r="D68" s="21"/>
      <c r="E68" s="21"/>
      <c r="F68" s="21"/>
      <c r="G68" s="21"/>
      <c r="H68" s="21"/>
      <c r="I68" s="21"/>
      <c r="J68" s="21"/>
      <c r="K68" s="21"/>
      <c r="L68" s="22" t="str">
        <f t="shared" si="1"/>
        <v/>
      </c>
      <c r="M68" s="2"/>
      <c r="N68" s="2"/>
      <c r="O68" s="2"/>
      <c r="P68" s="2"/>
      <c r="Q68" s="2"/>
      <c r="R68" s="2"/>
      <c r="S68" s="2"/>
      <c r="T68" s="2"/>
      <c r="U68" s="2"/>
      <c r="V68" s="2"/>
      <c r="W68" s="2"/>
      <c r="X68" s="2"/>
      <c r="Y68" s="2"/>
      <c r="Z68" s="2"/>
    </row>
    <row r="69" ht="33.75" customHeight="1">
      <c r="A69" s="23"/>
      <c r="B69" s="23"/>
      <c r="C69" s="23"/>
      <c r="D69" s="23"/>
      <c r="E69" s="23"/>
      <c r="F69" s="23"/>
      <c r="G69" s="23"/>
      <c r="H69" s="23"/>
      <c r="I69" s="23"/>
      <c r="J69" s="23"/>
      <c r="K69" s="23"/>
      <c r="L69" s="22" t="str">
        <f t="shared" si="1"/>
        <v/>
      </c>
      <c r="M69" s="2"/>
      <c r="N69" s="2"/>
      <c r="O69" s="2"/>
      <c r="P69" s="2"/>
      <c r="Q69" s="2"/>
      <c r="R69" s="2"/>
      <c r="S69" s="2"/>
      <c r="T69" s="2"/>
      <c r="U69" s="2"/>
      <c r="V69" s="2"/>
      <c r="W69" s="2"/>
      <c r="X69" s="2"/>
      <c r="Y69" s="2"/>
      <c r="Z69" s="2"/>
    </row>
    <row r="70" ht="33.75" customHeight="1">
      <c r="A70" s="21"/>
      <c r="B70" s="21"/>
      <c r="C70" s="21"/>
      <c r="D70" s="21"/>
      <c r="E70" s="21"/>
      <c r="F70" s="21"/>
      <c r="G70" s="21"/>
      <c r="H70" s="21"/>
      <c r="I70" s="21"/>
      <c r="J70" s="21"/>
      <c r="K70" s="21"/>
      <c r="L70" s="22" t="str">
        <f t="shared" si="1"/>
        <v/>
      </c>
      <c r="M70" s="2"/>
      <c r="N70" s="2"/>
      <c r="O70" s="2"/>
      <c r="P70" s="2"/>
      <c r="Q70" s="2"/>
      <c r="R70" s="2"/>
      <c r="S70" s="2"/>
      <c r="T70" s="2"/>
      <c r="U70" s="2"/>
      <c r="V70" s="2"/>
      <c r="W70" s="2"/>
      <c r="X70" s="2"/>
      <c r="Y70" s="2"/>
      <c r="Z70" s="2"/>
    </row>
    <row r="71" ht="33.75" customHeight="1">
      <c r="A71" s="23"/>
      <c r="B71" s="23"/>
      <c r="C71" s="23"/>
      <c r="D71" s="23"/>
      <c r="E71" s="23"/>
      <c r="F71" s="23"/>
      <c r="G71" s="23"/>
      <c r="H71" s="23"/>
      <c r="I71" s="23"/>
      <c r="J71" s="23"/>
      <c r="K71" s="23"/>
      <c r="L71" s="22" t="str">
        <f t="shared" si="1"/>
        <v/>
      </c>
      <c r="M71" s="2"/>
      <c r="N71" s="2"/>
      <c r="O71" s="2"/>
      <c r="P71" s="2"/>
      <c r="Q71" s="2"/>
      <c r="R71" s="2"/>
      <c r="S71" s="2"/>
      <c r="T71" s="2"/>
      <c r="U71" s="2"/>
      <c r="V71" s="2"/>
      <c r="W71" s="2"/>
      <c r="X71" s="2"/>
      <c r="Y71" s="2"/>
      <c r="Z71" s="2"/>
    </row>
    <row r="72" ht="33.75" customHeight="1">
      <c r="A72" s="21"/>
      <c r="B72" s="21"/>
      <c r="C72" s="21"/>
      <c r="D72" s="21"/>
      <c r="E72" s="21"/>
      <c r="F72" s="21"/>
      <c r="G72" s="21"/>
      <c r="H72" s="21"/>
      <c r="I72" s="21"/>
      <c r="J72" s="21"/>
      <c r="K72" s="21"/>
      <c r="L72" s="22" t="str">
        <f t="shared" si="1"/>
        <v/>
      </c>
      <c r="M72" s="2"/>
      <c r="N72" s="2"/>
      <c r="O72" s="2"/>
      <c r="P72" s="2"/>
      <c r="Q72" s="2"/>
      <c r="R72" s="2"/>
      <c r="S72" s="2"/>
      <c r="T72" s="2"/>
      <c r="U72" s="2"/>
      <c r="V72" s="2"/>
      <c r="W72" s="2"/>
      <c r="X72" s="2"/>
      <c r="Y72" s="2"/>
      <c r="Z72" s="2"/>
    </row>
    <row r="73" ht="33.75" customHeight="1">
      <c r="A73" s="23"/>
      <c r="B73" s="23"/>
      <c r="C73" s="23"/>
      <c r="D73" s="23"/>
      <c r="E73" s="23"/>
      <c r="F73" s="23"/>
      <c r="G73" s="23"/>
      <c r="H73" s="23"/>
      <c r="I73" s="23"/>
      <c r="J73" s="23"/>
      <c r="K73" s="23"/>
      <c r="L73" s="22" t="str">
        <f t="shared" si="1"/>
        <v/>
      </c>
      <c r="M73" s="2"/>
      <c r="N73" s="2"/>
      <c r="O73" s="2"/>
      <c r="P73" s="2"/>
      <c r="Q73" s="2"/>
      <c r="R73" s="2"/>
      <c r="S73" s="2"/>
      <c r="T73" s="2"/>
      <c r="U73" s="2"/>
      <c r="V73" s="2"/>
      <c r="W73" s="2"/>
      <c r="X73" s="2"/>
      <c r="Y73" s="2"/>
      <c r="Z73" s="2"/>
    </row>
    <row r="74" ht="33.75" customHeight="1">
      <c r="A74" s="21"/>
      <c r="B74" s="21"/>
      <c r="C74" s="21"/>
      <c r="D74" s="21"/>
      <c r="E74" s="21"/>
      <c r="F74" s="21"/>
      <c r="G74" s="21"/>
      <c r="H74" s="21"/>
      <c r="I74" s="21"/>
      <c r="J74" s="21"/>
      <c r="K74" s="21"/>
      <c r="L74" s="22" t="str">
        <f t="shared" si="1"/>
        <v/>
      </c>
      <c r="M74" s="2"/>
      <c r="N74" s="2"/>
      <c r="O74" s="2"/>
      <c r="P74" s="2"/>
      <c r="Q74" s="2"/>
      <c r="R74" s="2"/>
      <c r="S74" s="2"/>
      <c r="T74" s="2"/>
      <c r="U74" s="2"/>
      <c r="V74" s="2"/>
      <c r="W74" s="2"/>
      <c r="X74" s="2"/>
      <c r="Y74" s="2"/>
      <c r="Z74" s="2"/>
    </row>
    <row r="75" ht="33.75" customHeight="1">
      <c r="A75" s="23"/>
      <c r="B75" s="23"/>
      <c r="C75" s="23"/>
      <c r="D75" s="23"/>
      <c r="E75" s="23"/>
      <c r="F75" s="23"/>
      <c r="G75" s="23"/>
      <c r="H75" s="23"/>
      <c r="I75" s="23"/>
      <c r="J75" s="23"/>
      <c r="K75" s="23"/>
      <c r="L75" s="22" t="str">
        <f t="shared" si="1"/>
        <v/>
      </c>
      <c r="M75" s="2"/>
      <c r="N75" s="2"/>
      <c r="O75" s="2"/>
      <c r="P75" s="2"/>
      <c r="Q75" s="2"/>
      <c r="R75" s="2"/>
      <c r="S75" s="2"/>
      <c r="T75" s="2"/>
      <c r="U75" s="2"/>
      <c r="V75" s="2"/>
      <c r="W75" s="2"/>
      <c r="X75" s="2"/>
      <c r="Y75" s="2"/>
      <c r="Z75" s="2"/>
    </row>
    <row r="76" ht="33.75" customHeight="1">
      <c r="A76" s="21"/>
      <c r="B76" s="21"/>
      <c r="C76" s="21"/>
      <c r="D76" s="21"/>
      <c r="E76" s="21"/>
      <c r="F76" s="21"/>
      <c r="G76" s="21"/>
      <c r="H76" s="21"/>
      <c r="I76" s="21"/>
      <c r="J76" s="21"/>
      <c r="K76" s="21"/>
      <c r="L76" s="22" t="str">
        <f t="shared" si="1"/>
        <v/>
      </c>
      <c r="M76" s="2"/>
      <c r="N76" s="2"/>
      <c r="O76" s="2"/>
      <c r="P76" s="2"/>
      <c r="Q76" s="2"/>
      <c r="R76" s="2"/>
      <c r="S76" s="2"/>
      <c r="T76" s="2"/>
      <c r="U76" s="2"/>
      <c r="V76" s="2"/>
      <c r="W76" s="2"/>
      <c r="X76" s="2"/>
      <c r="Y76" s="2"/>
      <c r="Z76" s="2"/>
    </row>
    <row r="77" ht="33.75" customHeight="1">
      <c r="A77" s="23"/>
      <c r="B77" s="23"/>
      <c r="C77" s="23"/>
      <c r="D77" s="23"/>
      <c r="E77" s="23"/>
      <c r="F77" s="23"/>
      <c r="G77" s="23"/>
      <c r="H77" s="23"/>
      <c r="I77" s="23"/>
      <c r="J77" s="23"/>
      <c r="K77" s="23"/>
      <c r="L77" s="22" t="str">
        <f t="shared" si="1"/>
        <v/>
      </c>
      <c r="M77" s="2"/>
      <c r="N77" s="2"/>
      <c r="O77" s="2"/>
      <c r="P77" s="2"/>
      <c r="Q77" s="2"/>
      <c r="R77" s="2"/>
      <c r="S77" s="2"/>
      <c r="T77" s="2"/>
      <c r="U77" s="2"/>
      <c r="V77" s="2"/>
      <c r="W77" s="2"/>
      <c r="X77" s="2"/>
      <c r="Y77" s="2"/>
      <c r="Z77" s="2"/>
    </row>
    <row r="78" ht="33.75" customHeight="1">
      <c r="A78" s="21"/>
      <c r="B78" s="21"/>
      <c r="C78" s="21"/>
      <c r="D78" s="21"/>
      <c r="E78" s="21"/>
      <c r="F78" s="21"/>
      <c r="G78" s="21"/>
      <c r="H78" s="21"/>
      <c r="I78" s="21"/>
      <c r="J78" s="21"/>
      <c r="K78" s="21"/>
      <c r="L78" s="22" t="str">
        <f t="shared" si="1"/>
        <v/>
      </c>
      <c r="M78" s="2"/>
      <c r="N78" s="2"/>
      <c r="O78" s="2"/>
      <c r="P78" s="2"/>
      <c r="Q78" s="2"/>
      <c r="R78" s="2"/>
      <c r="S78" s="2"/>
      <c r="T78" s="2"/>
      <c r="U78" s="2"/>
      <c r="V78" s="2"/>
      <c r="W78" s="2"/>
      <c r="X78" s="2"/>
      <c r="Y78" s="2"/>
      <c r="Z78" s="2"/>
    </row>
    <row r="79" ht="33.75" customHeight="1">
      <c r="A79" s="23"/>
      <c r="B79" s="23"/>
      <c r="C79" s="23"/>
      <c r="D79" s="23"/>
      <c r="E79" s="23"/>
      <c r="F79" s="23"/>
      <c r="G79" s="23"/>
      <c r="H79" s="23"/>
      <c r="I79" s="23"/>
      <c r="J79" s="23"/>
      <c r="K79" s="23"/>
      <c r="L79" s="22" t="str">
        <f t="shared" si="1"/>
        <v/>
      </c>
      <c r="M79" s="2"/>
      <c r="N79" s="2"/>
      <c r="O79" s="2"/>
      <c r="P79" s="2"/>
      <c r="Q79" s="2"/>
      <c r="R79" s="2"/>
      <c r="S79" s="2"/>
      <c r="T79" s="2"/>
      <c r="U79" s="2"/>
      <c r="V79" s="2"/>
      <c r="W79" s="2"/>
      <c r="X79" s="2"/>
      <c r="Y79" s="2"/>
      <c r="Z79" s="2"/>
    </row>
    <row r="80" ht="33.75" customHeight="1">
      <c r="A80" s="21"/>
      <c r="B80" s="21"/>
      <c r="C80" s="21"/>
      <c r="D80" s="21"/>
      <c r="E80" s="21"/>
      <c r="F80" s="21"/>
      <c r="G80" s="21"/>
      <c r="H80" s="21"/>
      <c r="I80" s="21"/>
      <c r="J80" s="21"/>
      <c r="K80" s="21"/>
      <c r="L80" s="22" t="str">
        <f t="shared" si="1"/>
        <v/>
      </c>
      <c r="M80" s="2"/>
      <c r="N80" s="2"/>
      <c r="O80" s="2"/>
      <c r="P80" s="2"/>
      <c r="Q80" s="2"/>
      <c r="R80" s="2"/>
      <c r="S80" s="2"/>
      <c r="T80" s="2"/>
      <c r="U80" s="2"/>
      <c r="V80" s="2"/>
      <c r="W80" s="2"/>
      <c r="X80" s="2"/>
      <c r="Y80" s="2"/>
      <c r="Z80" s="2"/>
    </row>
    <row r="81" ht="33.75" customHeight="1">
      <c r="A81" s="23"/>
      <c r="B81" s="23"/>
      <c r="C81" s="23"/>
      <c r="D81" s="23"/>
      <c r="E81" s="23"/>
      <c r="F81" s="23"/>
      <c r="G81" s="23"/>
      <c r="H81" s="23"/>
      <c r="I81" s="23"/>
      <c r="J81" s="23"/>
      <c r="K81" s="23"/>
      <c r="L81" s="22" t="str">
        <f t="shared" si="1"/>
        <v/>
      </c>
      <c r="M81" s="2"/>
      <c r="N81" s="2"/>
      <c r="O81" s="2"/>
      <c r="P81" s="2"/>
      <c r="Q81" s="2"/>
      <c r="R81" s="2"/>
      <c r="S81" s="2"/>
      <c r="T81" s="2"/>
      <c r="U81" s="2"/>
      <c r="V81" s="2"/>
      <c r="W81" s="2"/>
      <c r="X81" s="2"/>
      <c r="Y81" s="2"/>
      <c r="Z81" s="2"/>
    </row>
    <row r="82" ht="33.75" customHeight="1">
      <c r="A82" s="21"/>
      <c r="B82" s="21"/>
      <c r="C82" s="21"/>
      <c r="D82" s="21"/>
      <c r="E82" s="21"/>
      <c r="F82" s="21"/>
      <c r="G82" s="21"/>
      <c r="H82" s="21"/>
      <c r="I82" s="21"/>
      <c r="J82" s="21"/>
      <c r="K82" s="21"/>
      <c r="L82" s="22" t="str">
        <f t="shared" si="1"/>
        <v/>
      </c>
      <c r="M82" s="2"/>
      <c r="N82" s="2"/>
      <c r="O82" s="2"/>
      <c r="P82" s="2"/>
      <c r="Q82" s="2"/>
      <c r="R82" s="2"/>
      <c r="S82" s="2"/>
      <c r="T82" s="2"/>
      <c r="U82" s="2"/>
      <c r="V82" s="2"/>
      <c r="W82" s="2"/>
      <c r="X82" s="2"/>
      <c r="Y82" s="2"/>
      <c r="Z82" s="2"/>
    </row>
    <row r="83" ht="33.75" customHeight="1">
      <c r="A83" s="23"/>
      <c r="B83" s="23"/>
      <c r="C83" s="23"/>
      <c r="D83" s="23"/>
      <c r="E83" s="23"/>
      <c r="F83" s="23"/>
      <c r="G83" s="23"/>
      <c r="H83" s="23"/>
      <c r="I83" s="23"/>
      <c r="J83" s="23"/>
      <c r="K83" s="23"/>
      <c r="L83" s="22" t="str">
        <f t="shared" si="1"/>
        <v/>
      </c>
      <c r="M83" s="2"/>
      <c r="N83" s="2"/>
      <c r="O83" s="2"/>
      <c r="P83" s="2"/>
      <c r="Q83" s="2"/>
      <c r="R83" s="2"/>
      <c r="S83" s="2"/>
      <c r="T83" s="2"/>
      <c r="U83" s="2"/>
      <c r="V83" s="2"/>
      <c r="W83" s="2"/>
      <c r="X83" s="2"/>
      <c r="Y83" s="2"/>
      <c r="Z83" s="2"/>
    </row>
    <row r="84" ht="33.75" customHeight="1">
      <c r="A84" s="21"/>
      <c r="B84" s="21"/>
      <c r="C84" s="21"/>
      <c r="D84" s="21"/>
      <c r="E84" s="21"/>
      <c r="F84" s="21"/>
      <c r="G84" s="21"/>
      <c r="H84" s="21"/>
      <c r="I84" s="21"/>
      <c r="J84" s="21"/>
      <c r="K84" s="21"/>
      <c r="L84" s="22" t="str">
        <f t="shared" si="1"/>
        <v/>
      </c>
      <c r="M84" s="2"/>
      <c r="N84" s="2"/>
      <c r="O84" s="2"/>
      <c r="P84" s="2"/>
      <c r="Q84" s="2"/>
      <c r="R84" s="2"/>
      <c r="S84" s="2"/>
      <c r="T84" s="2"/>
      <c r="U84" s="2"/>
      <c r="V84" s="2"/>
      <c r="W84" s="2"/>
      <c r="X84" s="2"/>
      <c r="Y84" s="2"/>
      <c r="Z84" s="2"/>
    </row>
    <row r="85" ht="33.75" customHeight="1">
      <c r="A85" s="23"/>
      <c r="B85" s="23"/>
      <c r="C85" s="23"/>
      <c r="D85" s="23"/>
      <c r="E85" s="23"/>
      <c r="F85" s="23"/>
      <c r="G85" s="23"/>
      <c r="H85" s="23"/>
      <c r="I85" s="23"/>
      <c r="J85" s="23"/>
      <c r="K85" s="23"/>
      <c r="L85" s="22" t="str">
        <f t="shared" si="1"/>
        <v/>
      </c>
      <c r="M85" s="2"/>
      <c r="N85" s="2"/>
      <c r="O85" s="2"/>
      <c r="P85" s="2"/>
      <c r="Q85" s="2"/>
      <c r="R85" s="2"/>
      <c r="S85" s="2"/>
      <c r="T85" s="2"/>
      <c r="U85" s="2"/>
      <c r="V85" s="2"/>
      <c r="W85" s="2"/>
      <c r="X85" s="2"/>
      <c r="Y85" s="2"/>
      <c r="Z85" s="2"/>
    </row>
    <row r="86" ht="33.75" customHeight="1">
      <c r="A86" s="21"/>
      <c r="B86" s="21"/>
      <c r="C86" s="21"/>
      <c r="D86" s="21"/>
      <c r="E86" s="21"/>
      <c r="F86" s="21"/>
      <c r="G86" s="21"/>
      <c r="H86" s="21"/>
      <c r="I86" s="21"/>
      <c r="J86" s="21"/>
      <c r="K86" s="21"/>
      <c r="L86" s="22" t="str">
        <f t="shared" si="1"/>
        <v/>
      </c>
      <c r="M86" s="2"/>
      <c r="N86" s="2"/>
      <c r="O86" s="2"/>
      <c r="P86" s="2"/>
      <c r="Q86" s="2"/>
      <c r="R86" s="2"/>
      <c r="S86" s="2"/>
      <c r="T86" s="2"/>
      <c r="U86" s="2"/>
      <c r="V86" s="2"/>
      <c r="W86" s="2"/>
      <c r="X86" s="2"/>
      <c r="Y86" s="2"/>
      <c r="Z86" s="2"/>
    </row>
    <row r="87" ht="33.75" customHeight="1">
      <c r="A87" s="23"/>
      <c r="B87" s="23"/>
      <c r="C87" s="23"/>
      <c r="D87" s="23"/>
      <c r="E87" s="23"/>
      <c r="F87" s="23"/>
      <c r="G87" s="23"/>
      <c r="H87" s="23"/>
      <c r="I87" s="23"/>
      <c r="J87" s="23"/>
      <c r="K87" s="23"/>
      <c r="L87" s="22" t="str">
        <f t="shared" si="1"/>
        <v/>
      </c>
      <c r="M87" s="2"/>
      <c r="N87" s="2"/>
      <c r="O87" s="2"/>
      <c r="P87" s="2"/>
      <c r="Q87" s="2"/>
      <c r="R87" s="2"/>
      <c r="S87" s="2"/>
      <c r="T87" s="2"/>
      <c r="U87" s="2"/>
      <c r="V87" s="2"/>
      <c r="W87" s="2"/>
      <c r="X87" s="2"/>
      <c r="Y87" s="2"/>
      <c r="Z87" s="2"/>
    </row>
    <row r="88" ht="33.75" customHeight="1">
      <c r="A88" s="21"/>
      <c r="B88" s="21"/>
      <c r="C88" s="21"/>
      <c r="D88" s="21"/>
      <c r="E88" s="21"/>
      <c r="F88" s="21"/>
      <c r="G88" s="21"/>
      <c r="H88" s="21"/>
      <c r="I88" s="21"/>
      <c r="J88" s="21"/>
      <c r="K88" s="21"/>
      <c r="L88" s="22" t="str">
        <f t="shared" si="1"/>
        <v/>
      </c>
      <c r="M88" s="2"/>
      <c r="N88" s="2"/>
      <c r="O88" s="2"/>
      <c r="P88" s="2"/>
      <c r="Q88" s="2"/>
      <c r="R88" s="2"/>
      <c r="S88" s="2"/>
      <c r="T88" s="2"/>
      <c r="U88" s="2"/>
      <c r="V88" s="2"/>
      <c r="W88" s="2"/>
      <c r="X88" s="2"/>
      <c r="Y88" s="2"/>
      <c r="Z88" s="2"/>
    </row>
    <row r="89" ht="33.75" customHeight="1">
      <c r="A89" s="23"/>
      <c r="B89" s="23"/>
      <c r="C89" s="23"/>
      <c r="D89" s="23"/>
      <c r="E89" s="23"/>
      <c r="F89" s="23"/>
      <c r="G89" s="23"/>
      <c r="H89" s="23"/>
      <c r="I89" s="23"/>
      <c r="J89" s="23"/>
      <c r="K89" s="23"/>
      <c r="L89" s="22" t="str">
        <f t="shared" si="1"/>
        <v/>
      </c>
      <c r="M89" s="2"/>
      <c r="N89" s="2"/>
      <c r="O89" s="2"/>
      <c r="P89" s="2"/>
      <c r="Q89" s="2"/>
      <c r="R89" s="2"/>
      <c r="S89" s="2"/>
      <c r="T89" s="2"/>
      <c r="U89" s="2"/>
      <c r="V89" s="2"/>
      <c r="W89" s="2"/>
      <c r="X89" s="2"/>
      <c r="Y89" s="2"/>
      <c r="Z89" s="2"/>
    </row>
    <row r="90" ht="33.75" customHeight="1">
      <c r="A90" s="21"/>
      <c r="B90" s="21"/>
      <c r="C90" s="21"/>
      <c r="D90" s="21"/>
      <c r="E90" s="21"/>
      <c r="F90" s="21"/>
      <c r="G90" s="21"/>
      <c r="H90" s="21"/>
      <c r="I90" s="21"/>
      <c r="J90" s="21"/>
      <c r="K90" s="21"/>
      <c r="L90" s="22" t="str">
        <f t="shared" si="1"/>
        <v/>
      </c>
      <c r="M90" s="2"/>
      <c r="N90" s="2"/>
      <c r="O90" s="2"/>
      <c r="P90" s="2"/>
      <c r="Q90" s="2"/>
      <c r="R90" s="2"/>
      <c r="S90" s="2"/>
      <c r="T90" s="2"/>
      <c r="U90" s="2"/>
      <c r="V90" s="2"/>
      <c r="W90" s="2"/>
      <c r="X90" s="2"/>
      <c r="Y90" s="2"/>
      <c r="Z90" s="2"/>
    </row>
    <row r="91" ht="33.75" customHeight="1">
      <c r="A91" s="23"/>
      <c r="B91" s="23"/>
      <c r="C91" s="23"/>
      <c r="D91" s="23"/>
      <c r="E91" s="23"/>
      <c r="F91" s="23"/>
      <c r="G91" s="23"/>
      <c r="H91" s="23"/>
      <c r="I91" s="23"/>
      <c r="J91" s="23"/>
      <c r="K91" s="23"/>
      <c r="L91" s="22" t="str">
        <f t="shared" si="1"/>
        <v/>
      </c>
      <c r="M91" s="2"/>
      <c r="N91" s="2"/>
      <c r="O91" s="2"/>
      <c r="P91" s="2"/>
      <c r="Q91" s="2"/>
      <c r="R91" s="2"/>
      <c r="S91" s="2"/>
      <c r="T91" s="2"/>
      <c r="U91" s="2"/>
      <c r="V91" s="2"/>
      <c r="W91" s="2"/>
      <c r="X91" s="2"/>
      <c r="Y91" s="2"/>
      <c r="Z91" s="2"/>
    </row>
    <row r="92" ht="33.75" customHeight="1">
      <c r="A92" s="21"/>
      <c r="B92" s="21"/>
      <c r="C92" s="21"/>
      <c r="D92" s="21"/>
      <c r="E92" s="21"/>
      <c r="F92" s="21"/>
      <c r="G92" s="21"/>
      <c r="H92" s="21"/>
      <c r="I92" s="21"/>
      <c r="J92" s="21"/>
      <c r="K92" s="21"/>
      <c r="L92" s="22" t="str">
        <f t="shared" si="1"/>
        <v/>
      </c>
      <c r="M92" s="2"/>
      <c r="N92" s="2"/>
      <c r="O92" s="2"/>
      <c r="P92" s="2"/>
      <c r="Q92" s="2"/>
      <c r="R92" s="2"/>
      <c r="S92" s="2"/>
      <c r="T92" s="2"/>
      <c r="U92" s="2"/>
      <c r="V92" s="2"/>
      <c r="W92" s="2"/>
      <c r="X92" s="2"/>
      <c r="Y92" s="2"/>
      <c r="Z92" s="2"/>
    </row>
    <row r="93" ht="33.75" customHeight="1">
      <c r="A93" s="23"/>
      <c r="B93" s="23"/>
      <c r="C93" s="23"/>
      <c r="D93" s="23"/>
      <c r="E93" s="23"/>
      <c r="F93" s="23"/>
      <c r="G93" s="23"/>
      <c r="H93" s="23"/>
      <c r="I93" s="23"/>
      <c r="J93" s="23"/>
      <c r="K93" s="23"/>
      <c r="L93" s="22" t="str">
        <f t="shared" si="1"/>
        <v/>
      </c>
      <c r="M93" s="2"/>
      <c r="N93" s="2"/>
      <c r="O93" s="2"/>
      <c r="P93" s="2"/>
      <c r="Q93" s="2"/>
      <c r="R93" s="2"/>
      <c r="S93" s="2"/>
      <c r="T93" s="2"/>
      <c r="U93" s="2"/>
      <c r="V93" s="2"/>
      <c r="W93" s="2"/>
      <c r="X93" s="2"/>
      <c r="Y93" s="2"/>
      <c r="Z93" s="2"/>
    </row>
    <row r="94" ht="33.75" customHeight="1">
      <c r="A94" s="21"/>
      <c r="B94" s="21"/>
      <c r="C94" s="21"/>
      <c r="D94" s="21"/>
      <c r="E94" s="21"/>
      <c r="F94" s="21"/>
      <c r="G94" s="21"/>
      <c r="H94" s="21"/>
      <c r="I94" s="21"/>
      <c r="J94" s="21"/>
      <c r="K94" s="21"/>
      <c r="L94" s="22" t="str">
        <f t="shared" si="1"/>
        <v/>
      </c>
      <c r="M94" s="2"/>
      <c r="N94" s="2"/>
      <c r="O94" s="2"/>
      <c r="P94" s="2"/>
      <c r="Q94" s="2"/>
      <c r="R94" s="2"/>
      <c r="S94" s="2"/>
      <c r="T94" s="2"/>
      <c r="U94" s="2"/>
      <c r="V94" s="2"/>
      <c r="W94" s="2"/>
      <c r="X94" s="2"/>
      <c r="Y94" s="2"/>
      <c r="Z94" s="2"/>
    </row>
    <row r="95" ht="33.75" customHeight="1">
      <c r="A95" s="23"/>
      <c r="B95" s="23"/>
      <c r="C95" s="23"/>
      <c r="D95" s="23"/>
      <c r="E95" s="23"/>
      <c r="F95" s="23"/>
      <c r="G95" s="23"/>
      <c r="H95" s="23"/>
      <c r="I95" s="23"/>
      <c r="J95" s="23"/>
      <c r="K95" s="23"/>
      <c r="L95" s="22" t="str">
        <f t="shared" si="1"/>
        <v/>
      </c>
      <c r="M95" s="2"/>
      <c r="N95" s="2"/>
      <c r="O95" s="2"/>
      <c r="P95" s="2"/>
      <c r="Q95" s="2"/>
      <c r="R95" s="2"/>
      <c r="S95" s="2"/>
      <c r="T95" s="2"/>
      <c r="U95" s="2"/>
      <c r="V95" s="2"/>
      <c r="W95" s="2"/>
      <c r="X95" s="2"/>
      <c r="Y95" s="2"/>
      <c r="Z95" s="2"/>
    </row>
    <row r="96" ht="33.75" customHeight="1">
      <c r="A96" s="21"/>
      <c r="B96" s="21"/>
      <c r="C96" s="21"/>
      <c r="D96" s="21"/>
      <c r="E96" s="21"/>
      <c r="F96" s="21"/>
      <c r="G96" s="21"/>
      <c r="H96" s="21"/>
      <c r="I96" s="21"/>
      <c r="J96" s="21"/>
      <c r="K96" s="21"/>
      <c r="L96" s="22" t="str">
        <f t="shared" si="1"/>
        <v/>
      </c>
      <c r="M96" s="2"/>
      <c r="N96" s="2"/>
      <c r="O96" s="2"/>
      <c r="P96" s="2"/>
      <c r="Q96" s="2"/>
      <c r="R96" s="2"/>
      <c r="S96" s="2"/>
      <c r="T96" s="2"/>
      <c r="U96" s="2"/>
      <c r="V96" s="2"/>
      <c r="W96" s="2"/>
      <c r="X96" s="2"/>
      <c r="Y96" s="2"/>
      <c r="Z96" s="2"/>
    </row>
    <row r="97" ht="33.75" customHeight="1">
      <c r="A97" s="23"/>
      <c r="B97" s="23"/>
      <c r="C97" s="23"/>
      <c r="D97" s="23"/>
      <c r="E97" s="23"/>
      <c r="F97" s="23"/>
      <c r="G97" s="23"/>
      <c r="H97" s="23"/>
      <c r="I97" s="23"/>
      <c r="J97" s="23"/>
      <c r="K97" s="23"/>
      <c r="L97" s="22" t="str">
        <f t="shared" si="1"/>
        <v/>
      </c>
      <c r="M97" s="2"/>
      <c r="N97" s="2"/>
      <c r="O97" s="2"/>
      <c r="P97" s="2"/>
      <c r="Q97" s="2"/>
      <c r="R97" s="2"/>
      <c r="S97" s="2"/>
      <c r="T97" s="2"/>
      <c r="U97" s="2"/>
      <c r="V97" s="2"/>
      <c r="W97" s="2"/>
      <c r="X97" s="2"/>
      <c r="Y97" s="2"/>
      <c r="Z97" s="2"/>
    </row>
    <row r="98" ht="33.75" customHeight="1">
      <c r="A98" s="21"/>
      <c r="B98" s="21"/>
      <c r="C98" s="21"/>
      <c r="D98" s="21"/>
      <c r="E98" s="21"/>
      <c r="F98" s="21"/>
      <c r="G98" s="21"/>
      <c r="H98" s="21"/>
      <c r="I98" s="21"/>
      <c r="J98" s="21"/>
      <c r="K98" s="21"/>
      <c r="L98" s="22" t="str">
        <f t="shared" si="1"/>
        <v/>
      </c>
      <c r="M98" s="2"/>
      <c r="N98" s="2"/>
      <c r="O98" s="2"/>
      <c r="P98" s="2"/>
      <c r="Q98" s="2"/>
      <c r="R98" s="2"/>
      <c r="S98" s="2"/>
      <c r="T98" s="2"/>
      <c r="U98" s="2"/>
      <c r="V98" s="2"/>
      <c r="W98" s="2"/>
      <c r="X98" s="2"/>
      <c r="Y98" s="2"/>
      <c r="Z98" s="2"/>
    </row>
    <row r="99" ht="33.75" customHeight="1">
      <c r="A99" s="23"/>
      <c r="B99" s="23"/>
      <c r="C99" s="23"/>
      <c r="D99" s="23"/>
      <c r="E99" s="23"/>
      <c r="F99" s="23"/>
      <c r="G99" s="23"/>
      <c r="H99" s="23"/>
      <c r="I99" s="23"/>
      <c r="J99" s="23"/>
      <c r="K99" s="23"/>
      <c r="L99" s="22" t="str">
        <f t="shared" si="1"/>
        <v/>
      </c>
      <c r="M99" s="2"/>
      <c r="N99" s="2"/>
      <c r="O99" s="2"/>
      <c r="P99" s="2"/>
      <c r="Q99" s="2"/>
      <c r="R99" s="2"/>
      <c r="S99" s="2"/>
      <c r="T99" s="2"/>
      <c r="U99" s="2"/>
      <c r="V99" s="2"/>
      <c r="W99" s="2"/>
      <c r="X99" s="2"/>
      <c r="Y99" s="2"/>
      <c r="Z99" s="2"/>
    </row>
    <row r="100" ht="33.75" customHeight="1">
      <c r="A100" s="21"/>
      <c r="B100" s="21"/>
      <c r="C100" s="21"/>
      <c r="D100" s="21"/>
      <c r="E100" s="21"/>
      <c r="F100" s="21"/>
      <c r="G100" s="21"/>
      <c r="H100" s="21"/>
      <c r="I100" s="21"/>
      <c r="J100" s="21"/>
      <c r="K100" s="21"/>
      <c r="L100" s="22" t="str">
        <f t="shared" si="1"/>
        <v/>
      </c>
      <c r="M100" s="2"/>
      <c r="N100" s="2"/>
      <c r="O100" s="2"/>
      <c r="P100" s="2"/>
      <c r="Q100" s="2"/>
      <c r="R100" s="2"/>
      <c r="S100" s="2"/>
      <c r="T100" s="2"/>
      <c r="U100" s="2"/>
      <c r="V100" s="2"/>
      <c r="W100" s="2"/>
      <c r="X100" s="2"/>
      <c r="Y100" s="2"/>
      <c r="Z100" s="2"/>
    </row>
    <row r="101" ht="33.75" customHeight="1">
      <c r="A101" s="23"/>
      <c r="B101" s="23"/>
      <c r="C101" s="23"/>
      <c r="D101" s="23"/>
      <c r="E101" s="23"/>
      <c r="F101" s="23"/>
      <c r="G101" s="23"/>
      <c r="H101" s="23"/>
      <c r="I101" s="23"/>
      <c r="J101" s="23"/>
      <c r="K101" s="23"/>
      <c r="L101" s="22" t="str">
        <f t="shared" si="1"/>
        <v/>
      </c>
      <c r="M101" s="2"/>
      <c r="N101" s="2"/>
      <c r="O101" s="2"/>
      <c r="P101" s="2"/>
      <c r="Q101" s="2"/>
      <c r="R101" s="2"/>
      <c r="S101" s="2"/>
      <c r="T101" s="2"/>
      <c r="U101" s="2"/>
      <c r="V101" s="2"/>
      <c r="W101" s="2"/>
      <c r="X101" s="2"/>
      <c r="Y101" s="2"/>
      <c r="Z101" s="2"/>
    </row>
    <row r="102" ht="33.75" customHeight="1">
      <c r="A102" s="21"/>
      <c r="B102" s="21"/>
      <c r="C102" s="21"/>
      <c r="D102" s="21"/>
      <c r="E102" s="21"/>
      <c r="F102" s="21"/>
      <c r="G102" s="21"/>
      <c r="H102" s="21"/>
      <c r="I102" s="21"/>
      <c r="J102" s="21"/>
      <c r="K102" s="21"/>
      <c r="L102" s="22" t="str">
        <f t="shared" si="1"/>
        <v/>
      </c>
      <c r="M102" s="2"/>
      <c r="N102" s="2"/>
      <c r="O102" s="2"/>
      <c r="P102" s="2"/>
      <c r="Q102" s="2"/>
      <c r="R102" s="2"/>
      <c r="S102" s="2"/>
      <c r="T102" s="2"/>
      <c r="U102" s="2"/>
      <c r="V102" s="2"/>
      <c r="W102" s="2"/>
      <c r="X102" s="2"/>
      <c r="Y102" s="2"/>
      <c r="Z102" s="2"/>
    </row>
    <row r="103" ht="33.75" customHeight="1">
      <c r="A103" s="23"/>
      <c r="B103" s="23"/>
      <c r="C103" s="23"/>
      <c r="D103" s="23"/>
      <c r="E103" s="23"/>
      <c r="F103" s="23"/>
      <c r="G103" s="23"/>
      <c r="H103" s="23"/>
      <c r="I103" s="23"/>
      <c r="J103" s="23"/>
      <c r="K103" s="23"/>
      <c r="L103" s="22" t="str">
        <f t="shared" si="1"/>
        <v/>
      </c>
      <c r="M103" s="2"/>
      <c r="N103" s="2"/>
      <c r="O103" s="2"/>
      <c r="P103" s="2"/>
      <c r="Q103" s="2"/>
      <c r="R103" s="2"/>
      <c r="S103" s="2"/>
      <c r="T103" s="2"/>
      <c r="U103" s="2"/>
      <c r="V103" s="2"/>
      <c r="W103" s="2"/>
      <c r="X103" s="2"/>
      <c r="Y103" s="2"/>
      <c r="Z103" s="2"/>
    </row>
    <row r="104" ht="33.75" customHeight="1">
      <c r="A104" s="21"/>
      <c r="B104" s="21"/>
      <c r="C104" s="21"/>
      <c r="D104" s="21"/>
      <c r="E104" s="21"/>
      <c r="F104" s="21"/>
      <c r="G104" s="21"/>
      <c r="H104" s="21"/>
      <c r="I104" s="21"/>
      <c r="J104" s="21"/>
      <c r="K104" s="21"/>
      <c r="L104" s="22" t="str">
        <f t="shared" si="1"/>
        <v/>
      </c>
      <c r="M104" s="2"/>
      <c r="N104" s="2"/>
      <c r="O104" s="2"/>
      <c r="P104" s="2"/>
      <c r="Q104" s="2"/>
      <c r="R104" s="2"/>
      <c r="S104" s="2"/>
      <c r="T104" s="2"/>
      <c r="U104" s="2"/>
      <c r="V104" s="2"/>
      <c r="W104" s="2"/>
      <c r="X104" s="2"/>
      <c r="Y104" s="2"/>
      <c r="Z104" s="2"/>
    </row>
    <row r="105" ht="33.75" customHeight="1">
      <c r="A105" s="23"/>
      <c r="B105" s="23"/>
      <c r="C105" s="23"/>
      <c r="D105" s="23"/>
      <c r="E105" s="23"/>
      <c r="F105" s="23"/>
      <c r="G105" s="23"/>
      <c r="H105" s="23"/>
      <c r="I105" s="23"/>
      <c r="J105" s="23"/>
      <c r="K105" s="23"/>
      <c r="L105" s="22" t="str">
        <f t="shared" si="1"/>
        <v/>
      </c>
      <c r="M105" s="2"/>
      <c r="N105" s="2"/>
      <c r="O105" s="2"/>
      <c r="P105" s="2"/>
      <c r="Q105" s="2"/>
      <c r="R105" s="2"/>
      <c r="S105" s="2"/>
      <c r="T105" s="2"/>
      <c r="U105" s="2"/>
      <c r="V105" s="2"/>
      <c r="W105" s="2"/>
      <c r="X105" s="2"/>
      <c r="Y105" s="2"/>
      <c r="Z105" s="2"/>
    </row>
    <row r="106" ht="33.75" customHeight="1">
      <c r="A106" s="21"/>
      <c r="B106" s="21"/>
      <c r="C106" s="21"/>
      <c r="D106" s="21"/>
      <c r="E106" s="21"/>
      <c r="F106" s="21"/>
      <c r="G106" s="21"/>
      <c r="H106" s="21"/>
      <c r="I106" s="21"/>
      <c r="J106" s="21"/>
      <c r="K106" s="21"/>
      <c r="L106" s="22" t="str">
        <f t="shared" si="1"/>
        <v/>
      </c>
      <c r="M106" s="2"/>
      <c r="N106" s="2"/>
      <c r="O106" s="2"/>
      <c r="P106" s="2"/>
      <c r="Q106" s="2"/>
      <c r="R106" s="2"/>
      <c r="S106" s="2"/>
      <c r="T106" s="2"/>
      <c r="U106" s="2"/>
      <c r="V106" s="2"/>
      <c r="W106" s="2"/>
      <c r="X106" s="2"/>
      <c r="Y106" s="2"/>
      <c r="Z106" s="2"/>
    </row>
    <row r="107" ht="33.75" customHeight="1">
      <c r="A107" s="23"/>
      <c r="B107" s="23"/>
      <c r="C107" s="23"/>
      <c r="D107" s="23"/>
      <c r="E107" s="23"/>
      <c r="F107" s="23"/>
      <c r="G107" s="23"/>
      <c r="H107" s="23"/>
      <c r="I107" s="23"/>
      <c r="J107" s="23"/>
      <c r="K107" s="23"/>
      <c r="L107" s="22" t="str">
        <f t="shared" si="1"/>
        <v/>
      </c>
      <c r="M107" s="2"/>
      <c r="N107" s="2"/>
      <c r="O107" s="2"/>
      <c r="P107" s="2"/>
      <c r="Q107" s="2"/>
      <c r="R107" s="2"/>
      <c r="S107" s="2"/>
      <c r="T107" s="2"/>
      <c r="U107" s="2"/>
      <c r="V107" s="2"/>
      <c r="W107" s="2"/>
      <c r="X107" s="2"/>
      <c r="Y107" s="2"/>
      <c r="Z107" s="2"/>
    </row>
    <row r="108" ht="33.75" customHeight="1">
      <c r="A108" s="21"/>
      <c r="B108" s="21"/>
      <c r="C108" s="21"/>
      <c r="D108" s="21"/>
      <c r="E108" s="21"/>
      <c r="F108" s="21"/>
      <c r="G108" s="21"/>
      <c r="H108" s="21"/>
      <c r="I108" s="21"/>
      <c r="J108" s="21"/>
      <c r="K108" s="21"/>
      <c r="L108" s="22" t="str">
        <f t="shared" si="1"/>
        <v/>
      </c>
      <c r="M108" s="2"/>
      <c r="N108" s="2"/>
      <c r="O108" s="2"/>
      <c r="P108" s="2"/>
      <c r="Q108" s="2"/>
      <c r="R108" s="2"/>
      <c r="S108" s="2"/>
      <c r="T108" s="2"/>
      <c r="U108" s="2"/>
      <c r="V108" s="2"/>
      <c r="W108" s="2"/>
      <c r="X108" s="2"/>
      <c r="Y108" s="2"/>
      <c r="Z108" s="2"/>
    </row>
    <row r="109" ht="33.75" customHeight="1">
      <c r="A109" s="23"/>
      <c r="B109" s="23"/>
      <c r="C109" s="23"/>
      <c r="D109" s="23"/>
      <c r="E109" s="23"/>
      <c r="F109" s="23"/>
      <c r="G109" s="23"/>
      <c r="H109" s="23"/>
      <c r="I109" s="23"/>
      <c r="J109" s="23"/>
      <c r="K109" s="23"/>
      <c r="L109" s="22" t="str">
        <f t="shared" si="1"/>
        <v/>
      </c>
      <c r="M109" s="2"/>
      <c r="N109" s="2"/>
      <c r="O109" s="2"/>
      <c r="P109" s="2"/>
      <c r="Q109" s="2"/>
      <c r="R109" s="2"/>
      <c r="S109" s="2"/>
      <c r="T109" s="2"/>
      <c r="U109" s="2"/>
      <c r="V109" s="2"/>
      <c r="W109" s="2"/>
      <c r="X109" s="2"/>
      <c r="Y109" s="2"/>
      <c r="Z109" s="2"/>
    </row>
    <row r="110" ht="33.75" customHeight="1">
      <c r="A110" s="21"/>
      <c r="B110" s="21"/>
      <c r="C110" s="21"/>
      <c r="D110" s="21"/>
      <c r="E110" s="21"/>
      <c r="F110" s="21"/>
      <c r="G110" s="21"/>
      <c r="H110" s="21"/>
      <c r="I110" s="21"/>
      <c r="J110" s="21"/>
      <c r="K110" s="21"/>
      <c r="L110" s="22" t="str">
        <f t="shared" si="1"/>
        <v/>
      </c>
      <c r="M110" s="2"/>
      <c r="N110" s="2"/>
      <c r="O110" s="2"/>
      <c r="P110" s="2"/>
      <c r="Q110" s="2"/>
      <c r="R110" s="2"/>
      <c r="S110" s="2"/>
      <c r="T110" s="2"/>
      <c r="U110" s="2"/>
      <c r="V110" s="2"/>
      <c r="W110" s="2"/>
      <c r="X110" s="2"/>
      <c r="Y110" s="2"/>
      <c r="Z110" s="2"/>
    </row>
    <row r="111" ht="33.75" customHeight="1">
      <c r="A111" s="23"/>
      <c r="B111" s="23"/>
      <c r="C111" s="23"/>
      <c r="D111" s="23"/>
      <c r="E111" s="23"/>
      <c r="F111" s="23"/>
      <c r="G111" s="23"/>
      <c r="H111" s="23"/>
      <c r="I111" s="23"/>
      <c r="J111" s="23"/>
      <c r="K111" s="23"/>
      <c r="L111" s="22" t="str">
        <f t="shared" si="1"/>
        <v/>
      </c>
      <c r="M111" s="2"/>
      <c r="N111" s="2"/>
      <c r="O111" s="2"/>
      <c r="P111" s="2"/>
      <c r="Q111" s="2"/>
      <c r="R111" s="2"/>
      <c r="S111" s="2"/>
      <c r="T111" s="2"/>
      <c r="U111" s="2"/>
      <c r="V111" s="2"/>
      <c r="W111" s="2"/>
      <c r="X111" s="2"/>
      <c r="Y111" s="2"/>
      <c r="Z111" s="2"/>
    </row>
    <row r="112" ht="33.75" customHeight="1">
      <c r="A112" s="21"/>
      <c r="B112" s="21"/>
      <c r="C112" s="21"/>
      <c r="D112" s="21"/>
      <c r="E112" s="21"/>
      <c r="F112" s="21"/>
      <c r="G112" s="21"/>
      <c r="H112" s="21"/>
      <c r="I112" s="21"/>
      <c r="J112" s="21"/>
      <c r="K112" s="21"/>
      <c r="L112" s="22" t="str">
        <f t="shared" si="1"/>
        <v/>
      </c>
      <c r="M112" s="2"/>
      <c r="N112" s="2"/>
      <c r="O112" s="2"/>
      <c r="P112" s="2"/>
      <c r="Q112" s="2"/>
      <c r="R112" s="2"/>
      <c r="S112" s="2"/>
      <c r="T112" s="2"/>
      <c r="U112" s="2"/>
      <c r="V112" s="2"/>
      <c r="W112" s="2"/>
      <c r="X112" s="2"/>
      <c r="Y112" s="2"/>
      <c r="Z112" s="2"/>
    </row>
    <row r="113" ht="33.75" customHeight="1">
      <c r="A113" s="23"/>
      <c r="B113" s="23"/>
      <c r="C113" s="23"/>
      <c r="D113" s="23"/>
      <c r="E113" s="23"/>
      <c r="F113" s="23"/>
      <c r="G113" s="23"/>
      <c r="H113" s="23"/>
      <c r="I113" s="23"/>
      <c r="J113" s="23"/>
      <c r="K113" s="23"/>
      <c r="L113" s="22" t="str">
        <f t="shared" si="1"/>
        <v/>
      </c>
      <c r="M113" s="2"/>
      <c r="N113" s="2"/>
      <c r="O113" s="2"/>
      <c r="P113" s="2"/>
      <c r="Q113" s="2"/>
      <c r="R113" s="2"/>
      <c r="S113" s="2"/>
      <c r="T113" s="2"/>
      <c r="U113" s="2"/>
      <c r="V113" s="2"/>
      <c r="W113" s="2"/>
      <c r="X113" s="2"/>
      <c r="Y113" s="2"/>
      <c r="Z113" s="2"/>
    </row>
    <row r="114" ht="33.75" customHeight="1">
      <c r="A114" s="21"/>
      <c r="B114" s="21"/>
      <c r="C114" s="21"/>
      <c r="D114" s="21"/>
      <c r="E114" s="21"/>
      <c r="F114" s="21"/>
      <c r="G114" s="21"/>
      <c r="H114" s="21"/>
      <c r="I114" s="21"/>
      <c r="J114" s="21"/>
      <c r="K114" s="21"/>
      <c r="L114" s="22" t="str">
        <f t="shared" si="1"/>
        <v/>
      </c>
      <c r="M114" s="2"/>
      <c r="N114" s="2"/>
      <c r="O114" s="2"/>
      <c r="P114" s="2"/>
      <c r="Q114" s="2"/>
      <c r="R114" s="2"/>
      <c r="S114" s="2"/>
      <c r="T114" s="2"/>
      <c r="U114" s="2"/>
      <c r="V114" s="2"/>
      <c r="W114" s="2"/>
      <c r="X114" s="2"/>
      <c r="Y114" s="2"/>
      <c r="Z114" s="2"/>
    </row>
    <row r="115" ht="33.75" customHeight="1">
      <c r="A115" s="23"/>
      <c r="B115" s="23"/>
      <c r="C115" s="23"/>
      <c r="D115" s="23"/>
      <c r="E115" s="23"/>
      <c r="F115" s="23"/>
      <c r="G115" s="23"/>
      <c r="H115" s="23"/>
      <c r="I115" s="23"/>
      <c r="J115" s="23"/>
      <c r="K115" s="23"/>
      <c r="L115" s="22" t="str">
        <f t="shared" si="1"/>
        <v/>
      </c>
      <c r="M115" s="2"/>
      <c r="N115" s="2"/>
      <c r="O115" s="2"/>
      <c r="P115" s="2"/>
      <c r="Q115" s="2"/>
      <c r="R115" s="2"/>
      <c r="S115" s="2"/>
      <c r="T115" s="2"/>
      <c r="U115" s="2"/>
      <c r="V115" s="2"/>
      <c r="W115" s="2"/>
      <c r="X115" s="2"/>
      <c r="Y115" s="2"/>
      <c r="Z115" s="2"/>
    </row>
    <row r="116" ht="33.75" customHeight="1">
      <c r="A116" s="21"/>
      <c r="B116" s="21"/>
      <c r="C116" s="21"/>
      <c r="D116" s="21"/>
      <c r="E116" s="21"/>
      <c r="F116" s="21"/>
      <c r="G116" s="21"/>
      <c r="H116" s="21"/>
      <c r="I116" s="21"/>
      <c r="J116" s="21"/>
      <c r="K116" s="21"/>
      <c r="L116" s="22" t="str">
        <f t="shared" si="1"/>
        <v/>
      </c>
      <c r="M116" s="2"/>
      <c r="N116" s="2"/>
      <c r="O116" s="2"/>
      <c r="P116" s="2"/>
      <c r="Q116" s="2"/>
      <c r="R116" s="2"/>
      <c r="S116" s="2"/>
      <c r="T116" s="2"/>
      <c r="U116" s="2"/>
      <c r="V116" s="2"/>
      <c r="W116" s="2"/>
      <c r="X116" s="2"/>
      <c r="Y116" s="2"/>
      <c r="Z116" s="2"/>
    </row>
    <row r="117" ht="33.75" customHeight="1">
      <c r="A117" s="23"/>
      <c r="B117" s="23"/>
      <c r="C117" s="23"/>
      <c r="D117" s="23"/>
      <c r="E117" s="23"/>
      <c r="F117" s="23"/>
      <c r="G117" s="23"/>
      <c r="H117" s="23"/>
      <c r="I117" s="23"/>
      <c r="J117" s="23"/>
      <c r="K117" s="23"/>
      <c r="L117" s="22" t="str">
        <f t="shared" si="1"/>
        <v/>
      </c>
      <c r="M117" s="2"/>
      <c r="N117" s="2"/>
      <c r="O117" s="2"/>
      <c r="P117" s="2"/>
      <c r="Q117" s="2"/>
      <c r="R117" s="2"/>
      <c r="S117" s="2"/>
      <c r="T117" s="2"/>
      <c r="U117" s="2"/>
      <c r="V117" s="2"/>
      <c r="W117" s="2"/>
      <c r="X117" s="2"/>
      <c r="Y117" s="2"/>
      <c r="Z117" s="2"/>
    </row>
    <row r="118" ht="33.75" customHeight="1">
      <c r="A118" s="21"/>
      <c r="B118" s="21"/>
      <c r="C118" s="21"/>
      <c r="D118" s="21"/>
      <c r="E118" s="21"/>
      <c r="F118" s="21"/>
      <c r="G118" s="21"/>
      <c r="H118" s="21"/>
      <c r="I118" s="21"/>
      <c r="J118" s="21"/>
      <c r="K118" s="21"/>
      <c r="L118" s="22" t="str">
        <f t="shared" si="1"/>
        <v/>
      </c>
      <c r="M118" s="2"/>
      <c r="N118" s="2"/>
      <c r="O118" s="2"/>
      <c r="P118" s="2"/>
      <c r="Q118" s="2"/>
      <c r="R118" s="2"/>
      <c r="S118" s="2"/>
      <c r="T118" s="2"/>
      <c r="U118" s="2"/>
      <c r="V118" s="2"/>
      <c r="W118" s="2"/>
      <c r="X118" s="2"/>
      <c r="Y118" s="2"/>
      <c r="Z118" s="2"/>
    </row>
    <row r="119" ht="33.75" customHeight="1">
      <c r="A119" s="23"/>
      <c r="B119" s="23"/>
      <c r="C119" s="23"/>
      <c r="D119" s="23"/>
      <c r="E119" s="23"/>
      <c r="F119" s="23"/>
      <c r="G119" s="23"/>
      <c r="H119" s="23"/>
      <c r="I119" s="23"/>
      <c r="J119" s="23"/>
      <c r="K119" s="23"/>
      <c r="L119" s="22" t="str">
        <f t="shared" si="1"/>
        <v/>
      </c>
      <c r="M119" s="2"/>
      <c r="N119" s="2"/>
      <c r="O119" s="2"/>
      <c r="P119" s="2"/>
      <c r="Q119" s="2"/>
      <c r="R119" s="2"/>
      <c r="S119" s="2"/>
      <c r="T119" s="2"/>
      <c r="U119" s="2"/>
      <c r="V119" s="2"/>
      <c r="W119" s="2"/>
      <c r="X119" s="2"/>
      <c r="Y119" s="2"/>
      <c r="Z119" s="2"/>
    </row>
    <row r="120" ht="33.75" customHeight="1">
      <c r="A120" s="21"/>
      <c r="B120" s="21"/>
      <c r="C120" s="21"/>
      <c r="D120" s="21"/>
      <c r="E120" s="21"/>
      <c r="F120" s="21"/>
      <c r="G120" s="21"/>
      <c r="H120" s="21"/>
      <c r="I120" s="21"/>
      <c r="J120" s="21"/>
      <c r="K120" s="21"/>
      <c r="L120" s="22" t="str">
        <f t="shared" si="1"/>
        <v/>
      </c>
      <c r="M120" s="2"/>
      <c r="N120" s="2"/>
      <c r="O120" s="2"/>
      <c r="P120" s="2"/>
      <c r="Q120" s="2"/>
      <c r="R120" s="2"/>
      <c r="S120" s="2"/>
      <c r="T120" s="2"/>
      <c r="U120" s="2"/>
      <c r="V120" s="2"/>
      <c r="W120" s="2"/>
      <c r="X120" s="2"/>
      <c r="Y120" s="2"/>
      <c r="Z120" s="2"/>
    </row>
    <row r="121" ht="33.75" customHeight="1">
      <c r="A121" s="23"/>
      <c r="B121" s="23"/>
      <c r="C121" s="23"/>
      <c r="D121" s="23"/>
      <c r="E121" s="23"/>
      <c r="F121" s="23"/>
      <c r="G121" s="23"/>
      <c r="H121" s="23"/>
      <c r="I121" s="23"/>
      <c r="J121" s="23"/>
      <c r="K121" s="23"/>
      <c r="L121" s="22" t="str">
        <f t="shared" si="1"/>
        <v/>
      </c>
      <c r="M121" s="2"/>
      <c r="N121" s="2"/>
      <c r="O121" s="2"/>
      <c r="P121" s="2"/>
      <c r="Q121" s="2"/>
      <c r="R121" s="2"/>
      <c r="S121" s="2"/>
      <c r="T121" s="2"/>
      <c r="U121" s="2"/>
      <c r="V121" s="2"/>
      <c r="W121" s="2"/>
      <c r="X121" s="2"/>
      <c r="Y121" s="2"/>
      <c r="Z121" s="2"/>
    </row>
    <row r="122" ht="33.75" customHeight="1">
      <c r="A122" s="21"/>
      <c r="B122" s="21"/>
      <c r="C122" s="21"/>
      <c r="D122" s="21"/>
      <c r="E122" s="21"/>
      <c r="F122" s="21"/>
      <c r="G122" s="21"/>
      <c r="H122" s="21"/>
      <c r="I122" s="21"/>
      <c r="J122" s="21"/>
      <c r="K122" s="21"/>
      <c r="L122" s="22" t="str">
        <f t="shared" si="1"/>
        <v/>
      </c>
      <c r="M122" s="2"/>
      <c r="N122" s="2"/>
      <c r="O122" s="2"/>
      <c r="P122" s="2"/>
      <c r="Q122" s="2"/>
      <c r="R122" s="2"/>
      <c r="S122" s="2"/>
      <c r="T122" s="2"/>
      <c r="U122" s="2"/>
      <c r="V122" s="2"/>
      <c r="W122" s="2"/>
      <c r="X122" s="2"/>
      <c r="Y122" s="2"/>
      <c r="Z122" s="2"/>
    </row>
    <row r="123" ht="33.75" customHeight="1">
      <c r="A123" s="23"/>
      <c r="B123" s="23"/>
      <c r="C123" s="23"/>
      <c r="D123" s="23"/>
      <c r="E123" s="23"/>
      <c r="F123" s="23"/>
      <c r="G123" s="23"/>
      <c r="H123" s="23"/>
      <c r="I123" s="23"/>
      <c r="J123" s="23"/>
      <c r="K123" s="23"/>
      <c r="L123" s="22" t="str">
        <f t="shared" si="1"/>
        <v/>
      </c>
      <c r="M123" s="2"/>
      <c r="N123" s="2"/>
      <c r="O123" s="2"/>
      <c r="P123" s="2"/>
      <c r="Q123" s="2"/>
      <c r="R123" s="2"/>
      <c r="S123" s="2"/>
      <c r="T123" s="2"/>
      <c r="U123" s="2"/>
      <c r="V123" s="2"/>
      <c r="W123" s="2"/>
      <c r="X123" s="2"/>
      <c r="Y123" s="2"/>
      <c r="Z123" s="2"/>
    </row>
    <row r="124" ht="33.75" customHeight="1">
      <c r="A124" s="21"/>
      <c r="B124" s="21"/>
      <c r="C124" s="21"/>
      <c r="D124" s="21"/>
      <c r="E124" s="21"/>
      <c r="F124" s="21"/>
      <c r="G124" s="21"/>
      <c r="H124" s="21"/>
      <c r="I124" s="21"/>
      <c r="J124" s="21"/>
      <c r="K124" s="21"/>
      <c r="L124" s="22" t="str">
        <f t="shared" si="1"/>
        <v/>
      </c>
      <c r="M124" s="2"/>
      <c r="N124" s="2"/>
      <c r="O124" s="2"/>
      <c r="P124" s="2"/>
      <c r="Q124" s="2"/>
      <c r="R124" s="2"/>
      <c r="S124" s="2"/>
      <c r="T124" s="2"/>
      <c r="U124" s="2"/>
      <c r="V124" s="2"/>
      <c r="W124" s="2"/>
      <c r="X124" s="2"/>
      <c r="Y124" s="2"/>
      <c r="Z124" s="2"/>
    </row>
    <row r="125" ht="33.75" customHeight="1">
      <c r="A125" s="23"/>
      <c r="B125" s="23"/>
      <c r="C125" s="23"/>
      <c r="D125" s="23"/>
      <c r="E125" s="23"/>
      <c r="F125" s="23"/>
      <c r="G125" s="23"/>
      <c r="H125" s="23"/>
      <c r="I125" s="23"/>
      <c r="J125" s="23"/>
      <c r="K125" s="23"/>
      <c r="L125" s="22" t="str">
        <f t="shared" si="1"/>
        <v/>
      </c>
      <c r="M125" s="2"/>
      <c r="N125" s="2"/>
      <c r="O125" s="2"/>
      <c r="P125" s="2"/>
      <c r="Q125" s="2"/>
      <c r="R125" s="2"/>
      <c r="S125" s="2"/>
      <c r="T125" s="2"/>
      <c r="U125" s="2"/>
      <c r="V125" s="2"/>
      <c r="W125" s="2"/>
      <c r="X125" s="2"/>
      <c r="Y125" s="2"/>
      <c r="Z125" s="2"/>
    </row>
    <row r="126" ht="33.75" customHeight="1">
      <c r="A126" s="21"/>
      <c r="B126" s="21"/>
      <c r="C126" s="21"/>
      <c r="D126" s="21"/>
      <c r="E126" s="21"/>
      <c r="F126" s="21"/>
      <c r="G126" s="21"/>
      <c r="H126" s="21"/>
      <c r="I126" s="21"/>
      <c r="J126" s="21"/>
      <c r="K126" s="21"/>
      <c r="L126" s="22" t="str">
        <f t="shared" si="1"/>
        <v/>
      </c>
      <c r="M126" s="2"/>
      <c r="N126" s="2"/>
      <c r="O126" s="2"/>
      <c r="P126" s="2"/>
      <c r="Q126" s="2"/>
      <c r="R126" s="2"/>
      <c r="S126" s="2"/>
      <c r="T126" s="2"/>
      <c r="U126" s="2"/>
      <c r="V126" s="2"/>
      <c r="W126" s="2"/>
      <c r="X126" s="2"/>
      <c r="Y126" s="2"/>
      <c r="Z126" s="2"/>
    </row>
    <row r="127" ht="33.75" customHeight="1">
      <c r="A127" s="23"/>
      <c r="B127" s="23"/>
      <c r="C127" s="23"/>
      <c r="D127" s="23"/>
      <c r="E127" s="23"/>
      <c r="F127" s="23"/>
      <c r="G127" s="23"/>
      <c r="H127" s="23"/>
      <c r="I127" s="23"/>
      <c r="J127" s="23"/>
      <c r="K127" s="23"/>
      <c r="L127" s="22" t="str">
        <f t="shared" si="1"/>
        <v/>
      </c>
      <c r="M127" s="2"/>
      <c r="N127" s="2"/>
      <c r="O127" s="2"/>
      <c r="P127" s="2"/>
      <c r="Q127" s="2"/>
      <c r="R127" s="2"/>
      <c r="S127" s="2"/>
      <c r="T127" s="2"/>
      <c r="U127" s="2"/>
      <c r="V127" s="2"/>
      <c r="W127" s="2"/>
      <c r="X127" s="2"/>
      <c r="Y127" s="2"/>
      <c r="Z127" s="2"/>
    </row>
    <row r="128" ht="33.75" customHeight="1">
      <c r="A128" s="21"/>
      <c r="B128" s="21"/>
      <c r="C128" s="21"/>
      <c r="D128" s="21"/>
      <c r="E128" s="21"/>
      <c r="F128" s="21"/>
      <c r="G128" s="21"/>
      <c r="H128" s="21"/>
      <c r="I128" s="21"/>
      <c r="J128" s="21"/>
      <c r="K128" s="21"/>
      <c r="L128" s="22" t="str">
        <f t="shared" si="1"/>
        <v/>
      </c>
      <c r="M128" s="2"/>
      <c r="N128" s="2"/>
      <c r="O128" s="2"/>
      <c r="P128" s="2"/>
      <c r="Q128" s="2"/>
      <c r="R128" s="2"/>
      <c r="S128" s="2"/>
      <c r="T128" s="2"/>
      <c r="U128" s="2"/>
      <c r="V128" s="2"/>
      <c r="W128" s="2"/>
      <c r="X128" s="2"/>
      <c r="Y128" s="2"/>
      <c r="Z128" s="2"/>
    </row>
    <row r="129" ht="33.75" customHeight="1">
      <c r="A129" s="23"/>
      <c r="B129" s="23"/>
      <c r="C129" s="23"/>
      <c r="D129" s="23"/>
      <c r="E129" s="23"/>
      <c r="F129" s="23"/>
      <c r="G129" s="23"/>
      <c r="H129" s="23"/>
      <c r="I129" s="23"/>
      <c r="J129" s="23"/>
      <c r="K129" s="23"/>
      <c r="L129" s="22" t="str">
        <f t="shared" si="1"/>
        <v/>
      </c>
      <c r="M129" s="2"/>
      <c r="N129" s="2"/>
      <c r="O129" s="2"/>
      <c r="P129" s="2"/>
      <c r="Q129" s="2"/>
      <c r="R129" s="2"/>
      <c r="S129" s="2"/>
      <c r="T129" s="2"/>
      <c r="U129" s="2"/>
      <c r="V129" s="2"/>
      <c r="W129" s="2"/>
      <c r="X129" s="2"/>
      <c r="Y129" s="2"/>
      <c r="Z129" s="2"/>
    </row>
    <row r="130" ht="33.75" customHeight="1">
      <c r="A130" s="21"/>
      <c r="B130" s="21"/>
      <c r="C130" s="21"/>
      <c r="D130" s="21"/>
      <c r="E130" s="21"/>
      <c r="F130" s="21"/>
      <c r="G130" s="21"/>
      <c r="H130" s="21"/>
      <c r="I130" s="21"/>
      <c r="J130" s="21"/>
      <c r="K130" s="21"/>
      <c r="L130" s="22" t="str">
        <f t="shared" si="1"/>
        <v/>
      </c>
      <c r="M130" s="2"/>
      <c r="N130" s="2"/>
      <c r="O130" s="2"/>
      <c r="P130" s="2"/>
      <c r="Q130" s="2"/>
      <c r="R130" s="2"/>
      <c r="S130" s="2"/>
      <c r="T130" s="2"/>
      <c r="U130" s="2"/>
      <c r="V130" s="2"/>
      <c r="W130" s="2"/>
      <c r="X130" s="2"/>
      <c r="Y130" s="2"/>
      <c r="Z130" s="2"/>
    </row>
    <row r="131" ht="33.75" customHeight="1">
      <c r="A131" s="23"/>
      <c r="B131" s="23"/>
      <c r="C131" s="23"/>
      <c r="D131" s="23"/>
      <c r="E131" s="23"/>
      <c r="F131" s="23"/>
      <c r="G131" s="23"/>
      <c r="H131" s="23"/>
      <c r="I131" s="23"/>
      <c r="J131" s="23"/>
      <c r="K131" s="23"/>
      <c r="L131" s="22" t="str">
        <f t="shared" si="1"/>
        <v/>
      </c>
      <c r="M131" s="2"/>
      <c r="N131" s="2"/>
      <c r="O131" s="2"/>
      <c r="P131" s="2"/>
      <c r="Q131" s="2"/>
      <c r="R131" s="2"/>
      <c r="S131" s="2"/>
      <c r="T131" s="2"/>
      <c r="U131" s="2"/>
      <c r="V131" s="2"/>
      <c r="W131" s="2"/>
      <c r="X131" s="2"/>
      <c r="Y131" s="2"/>
      <c r="Z131" s="2"/>
    </row>
    <row r="132" ht="33.75" customHeight="1">
      <c r="A132" s="21"/>
      <c r="B132" s="21"/>
      <c r="C132" s="21"/>
      <c r="D132" s="21"/>
      <c r="E132" s="21"/>
      <c r="F132" s="21"/>
      <c r="G132" s="21"/>
      <c r="H132" s="21"/>
      <c r="I132" s="21"/>
      <c r="J132" s="21"/>
      <c r="K132" s="21"/>
      <c r="L132" s="22" t="str">
        <f t="shared" si="1"/>
        <v/>
      </c>
      <c r="M132" s="2"/>
      <c r="N132" s="2"/>
      <c r="O132" s="2"/>
      <c r="P132" s="2"/>
      <c r="Q132" s="2"/>
      <c r="R132" s="2"/>
      <c r="S132" s="2"/>
      <c r="T132" s="2"/>
      <c r="U132" s="2"/>
      <c r="V132" s="2"/>
      <c r="W132" s="2"/>
      <c r="X132" s="2"/>
      <c r="Y132" s="2"/>
      <c r="Z132" s="2"/>
    </row>
    <row r="133" ht="33.75" customHeight="1">
      <c r="A133" s="23"/>
      <c r="B133" s="23"/>
      <c r="C133" s="23"/>
      <c r="D133" s="23"/>
      <c r="E133" s="23"/>
      <c r="F133" s="23"/>
      <c r="G133" s="23"/>
      <c r="H133" s="23"/>
      <c r="I133" s="23"/>
      <c r="J133" s="23"/>
      <c r="K133" s="23"/>
      <c r="L133" s="22" t="str">
        <f t="shared" si="1"/>
        <v/>
      </c>
      <c r="M133" s="2"/>
      <c r="N133" s="2"/>
      <c r="O133" s="2"/>
      <c r="P133" s="2"/>
      <c r="Q133" s="2"/>
      <c r="R133" s="2"/>
      <c r="S133" s="2"/>
      <c r="T133" s="2"/>
      <c r="U133" s="2"/>
      <c r="V133" s="2"/>
      <c r="W133" s="2"/>
      <c r="X133" s="2"/>
      <c r="Y133" s="2"/>
      <c r="Z133" s="2"/>
    </row>
    <row r="134" ht="33.75" customHeight="1">
      <c r="A134" s="21"/>
      <c r="B134" s="21"/>
      <c r="C134" s="21"/>
      <c r="D134" s="21"/>
      <c r="E134" s="21"/>
      <c r="F134" s="21"/>
      <c r="G134" s="21"/>
      <c r="H134" s="21"/>
      <c r="I134" s="21"/>
      <c r="J134" s="21"/>
      <c r="K134" s="21"/>
      <c r="L134" s="22" t="str">
        <f t="shared" si="1"/>
        <v/>
      </c>
      <c r="M134" s="2"/>
      <c r="N134" s="2"/>
      <c r="O134" s="2"/>
      <c r="P134" s="2"/>
      <c r="Q134" s="2"/>
      <c r="R134" s="2"/>
      <c r="S134" s="2"/>
      <c r="T134" s="2"/>
      <c r="U134" s="2"/>
      <c r="V134" s="2"/>
      <c r="W134" s="2"/>
      <c r="X134" s="2"/>
      <c r="Y134" s="2"/>
      <c r="Z134" s="2"/>
    </row>
    <row r="135" ht="33.75" customHeight="1">
      <c r="A135" s="23"/>
      <c r="B135" s="23"/>
      <c r="C135" s="23"/>
      <c r="D135" s="23"/>
      <c r="E135" s="23"/>
      <c r="F135" s="23"/>
      <c r="G135" s="23"/>
      <c r="H135" s="23"/>
      <c r="I135" s="23"/>
      <c r="J135" s="23"/>
      <c r="K135" s="23"/>
      <c r="L135" s="22" t="str">
        <f t="shared" si="1"/>
        <v/>
      </c>
      <c r="M135" s="2"/>
      <c r="N135" s="2"/>
      <c r="O135" s="2"/>
      <c r="P135" s="2"/>
      <c r="Q135" s="2"/>
      <c r="R135" s="2"/>
      <c r="S135" s="2"/>
      <c r="T135" s="2"/>
      <c r="U135" s="2"/>
      <c r="V135" s="2"/>
      <c r="W135" s="2"/>
      <c r="X135" s="2"/>
      <c r="Y135" s="2"/>
      <c r="Z135" s="2"/>
    </row>
    <row r="136" ht="33.75" customHeight="1">
      <c r="A136" s="21"/>
      <c r="B136" s="21"/>
      <c r="C136" s="21"/>
      <c r="D136" s="21"/>
      <c r="E136" s="21"/>
      <c r="F136" s="21"/>
      <c r="G136" s="21"/>
      <c r="H136" s="21"/>
      <c r="I136" s="21"/>
      <c r="J136" s="21"/>
      <c r="K136" s="21"/>
      <c r="L136" s="22" t="str">
        <f t="shared" si="1"/>
        <v/>
      </c>
      <c r="M136" s="2"/>
      <c r="N136" s="2"/>
      <c r="O136" s="2"/>
      <c r="P136" s="2"/>
      <c r="Q136" s="2"/>
      <c r="R136" s="2"/>
      <c r="S136" s="2"/>
      <c r="T136" s="2"/>
      <c r="U136" s="2"/>
      <c r="V136" s="2"/>
      <c r="W136" s="2"/>
      <c r="X136" s="2"/>
      <c r="Y136" s="2"/>
      <c r="Z136" s="2"/>
    </row>
    <row r="137" ht="33.75" customHeight="1">
      <c r="A137" s="23"/>
      <c r="B137" s="23"/>
      <c r="C137" s="23"/>
      <c r="D137" s="23"/>
      <c r="E137" s="23"/>
      <c r="F137" s="23"/>
      <c r="G137" s="23"/>
      <c r="H137" s="23"/>
      <c r="I137" s="23"/>
      <c r="J137" s="23"/>
      <c r="K137" s="23"/>
      <c r="L137" s="22" t="str">
        <f t="shared" si="1"/>
        <v/>
      </c>
      <c r="M137" s="2"/>
      <c r="N137" s="2"/>
      <c r="O137" s="2"/>
      <c r="P137" s="2"/>
      <c r="Q137" s="2"/>
      <c r="R137" s="2"/>
      <c r="S137" s="2"/>
      <c r="T137" s="2"/>
      <c r="U137" s="2"/>
      <c r="V137" s="2"/>
      <c r="W137" s="2"/>
      <c r="X137" s="2"/>
      <c r="Y137" s="2"/>
      <c r="Z137" s="2"/>
    </row>
    <row r="138" ht="33.75" customHeight="1">
      <c r="A138" s="21"/>
      <c r="B138" s="21"/>
      <c r="C138" s="21"/>
      <c r="D138" s="21"/>
      <c r="E138" s="21"/>
      <c r="F138" s="21"/>
      <c r="G138" s="21"/>
      <c r="H138" s="21"/>
      <c r="I138" s="21"/>
      <c r="J138" s="21"/>
      <c r="K138" s="21"/>
      <c r="L138" s="22" t="str">
        <f t="shared" si="1"/>
        <v/>
      </c>
      <c r="M138" s="2"/>
      <c r="N138" s="2"/>
      <c r="O138" s="2"/>
      <c r="P138" s="2"/>
      <c r="Q138" s="2"/>
      <c r="R138" s="2"/>
      <c r="S138" s="2"/>
      <c r="T138" s="2"/>
      <c r="U138" s="2"/>
      <c r="V138" s="2"/>
      <c r="W138" s="2"/>
      <c r="X138" s="2"/>
      <c r="Y138" s="2"/>
      <c r="Z138" s="2"/>
    </row>
    <row r="139" ht="33.75" customHeight="1">
      <c r="A139" s="23"/>
      <c r="B139" s="23"/>
      <c r="C139" s="23"/>
      <c r="D139" s="23"/>
      <c r="E139" s="23"/>
      <c r="F139" s="23"/>
      <c r="G139" s="23"/>
      <c r="H139" s="23"/>
      <c r="I139" s="23"/>
      <c r="J139" s="23"/>
      <c r="K139" s="23"/>
      <c r="L139" s="22" t="str">
        <f t="shared" si="1"/>
        <v/>
      </c>
      <c r="M139" s="2"/>
      <c r="N139" s="2"/>
      <c r="O139" s="2"/>
      <c r="P139" s="2"/>
      <c r="Q139" s="2"/>
      <c r="R139" s="2"/>
      <c r="S139" s="2"/>
      <c r="T139" s="2"/>
      <c r="U139" s="2"/>
      <c r="V139" s="2"/>
      <c r="W139" s="2"/>
      <c r="X139" s="2"/>
      <c r="Y139" s="2"/>
      <c r="Z139" s="2"/>
    </row>
    <row r="140" ht="33.75" customHeight="1">
      <c r="A140" s="21"/>
      <c r="B140" s="21"/>
      <c r="C140" s="21"/>
      <c r="D140" s="21"/>
      <c r="E140" s="21"/>
      <c r="F140" s="21"/>
      <c r="G140" s="21"/>
      <c r="H140" s="21"/>
      <c r="I140" s="21"/>
      <c r="J140" s="21"/>
      <c r="K140" s="21"/>
      <c r="L140" s="22" t="str">
        <f t="shared" si="1"/>
        <v/>
      </c>
      <c r="M140" s="2"/>
      <c r="N140" s="2"/>
      <c r="O140" s="2"/>
      <c r="P140" s="2"/>
      <c r="Q140" s="2"/>
      <c r="R140" s="2"/>
      <c r="S140" s="2"/>
      <c r="T140" s="2"/>
      <c r="U140" s="2"/>
      <c r="V140" s="2"/>
      <c r="W140" s="2"/>
      <c r="X140" s="2"/>
      <c r="Y140" s="2"/>
      <c r="Z140" s="2"/>
    </row>
    <row r="141" ht="33.75" customHeight="1">
      <c r="A141" s="23"/>
      <c r="B141" s="23"/>
      <c r="C141" s="23"/>
      <c r="D141" s="23"/>
      <c r="E141" s="23"/>
      <c r="F141" s="23"/>
      <c r="G141" s="23"/>
      <c r="H141" s="23"/>
      <c r="I141" s="23"/>
      <c r="J141" s="23"/>
      <c r="K141" s="23"/>
      <c r="L141" s="22" t="str">
        <f t="shared" si="1"/>
        <v/>
      </c>
      <c r="M141" s="2"/>
      <c r="N141" s="2"/>
      <c r="O141" s="2"/>
      <c r="P141" s="2"/>
      <c r="Q141" s="2"/>
      <c r="R141" s="2"/>
      <c r="S141" s="2"/>
      <c r="T141" s="2"/>
      <c r="U141" s="2"/>
      <c r="V141" s="2"/>
      <c r="W141" s="2"/>
      <c r="X141" s="2"/>
      <c r="Y141" s="2"/>
      <c r="Z141" s="2"/>
    </row>
    <row r="142" ht="33.75" customHeight="1">
      <c r="A142" s="21"/>
      <c r="B142" s="21"/>
      <c r="C142" s="21"/>
      <c r="D142" s="21"/>
      <c r="E142" s="21"/>
      <c r="F142" s="21"/>
      <c r="G142" s="21"/>
      <c r="H142" s="21"/>
      <c r="I142" s="21"/>
      <c r="J142" s="21"/>
      <c r="K142" s="21"/>
      <c r="L142" s="22" t="str">
        <f t="shared" si="1"/>
        <v/>
      </c>
      <c r="M142" s="2"/>
      <c r="N142" s="2"/>
      <c r="O142" s="2"/>
      <c r="P142" s="2"/>
      <c r="Q142" s="2"/>
      <c r="R142" s="2"/>
      <c r="S142" s="2"/>
      <c r="T142" s="2"/>
      <c r="U142" s="2"/>
      <c r="V142" s="2"/>
      <c r="W142" s="2"/>
      <c r="X142" s="2"/>
      <c r="Y142" s="2"/>
      <c r="Z142" s="2"/>
    </row>
    <row r="143" ht="33.75" customHeight="1">
      <c r="A143" s="23"/>
      <c r="B143" s="23"/>
      <c r="C143" s="23"/>
      <c r="D143" s="23"/>
      <c r="E143" s="23"/>
      <c r="F143" s="23"/>
      <c r="G143" s="23"/>
      <c r="H143" s="23"/>
      <c r="I143" s="23"/>
      <c r="J143" s="23"/>
      <c r="K143" s="23"/>
      <c r="L143" s="22" t="str">
        <f t="shared" si="1"/>
        <v/>
      </c>
      <c r="M143" s="2"/>
      <c r="N143" s="2"/>
      <c r="O143" s="2"/>
      <c r="P143" s="2"/>
      <c r="Q143" s="2"/>
      <c r="R143" s="2"/>
      <c r="S143" s="2"/>
      <c r="T143" s="2"/>
      <c r="U143" s="2"/>
      <c r="V143" s="2"/>
      <c r="W143" s="2"/>
      <c r="X143" s="2"/>
      <c r="Y143" s="2"/>
      <c r="Z143" s="2"/>
    </row>
    <row r="144" ht="33.75" customHeight="1">
      <c r="A144" s="21"/>
      <c r="B144" s="21"/>
      <c r="C144" s="21"/>
      <c r="D144" s="21"/>
      <c r="E144" s="21"/>
      <c r="F144" s="21"/>
      <c r="G144" s="21"/>
      <c r="H144" s="21"/>
      <c r="I144" s="21"/>
      <c r="J144" s="21"/>
      <c r="K144" s="21"/>
      <c r="L144" s="22" t="str">
        <f t="shared" si="1"/>
        <v/>
      </c>
      <c r="M144" s="2"/>
      <c r="N144" s="2"/>
      <c r="O144" s="2"/>
      <c r="P144" s="2"/>
      <c r="Q144" s="2"/>
      <c r="R144" s="2"/>
      <c r="S144" s="2"/>
      <c r="T144" s="2"/>
      <c r="U144" s="2"/>
      <c r="V144" s="2"/>
      <c r="W144" s="2"/>
      <c r="X144" s="2"/>
      <c r="Y144" s="2"/>
      <c r="Z144" s="2"/>
    </row>
    <row r="145" ht="33.75" customHeight="1">
      <c r="A145" s="23"/>
      <c r="B145" s="23"/>
      <c r="C145" s="23"/>
      <c r="D145" s="23"/>
      <c r="E145" s="23"/>
      <c r="F145" s="23"/>
      <c r="G145" s="23"/>
      <c r="H145" s="23"/>
      <c r="I145" s="23"/>
      <c r="J145" s="23"/>
      <c r="K145" s="23"/>
      <c r="L145" s="22" t="str">
        <f t="shared" si="1"/>
        <v/>
      </c>
      <c r="M145" s="2"/>
      <c r="N145" s="2"/>
      <c r="O145" s="2"/>
      <c r="P145" s="2"/>
      <c r="Q145" s="2"/>
      <c r="R145" s="2"/>
      <c r="S145" s="2"/>
      <c r="T145" s="2"/>
      <c r="U145" s="2"/>
      <c r="V145" s="2"/>
      <c r="W145" s="2"/>
      <c r="X145" s="2"/>
      <c r="Y145" s="2"/>
      <c r="Z145" s="2"/>
    </row>
    <row r="146" ht="33.75" customHeight="1">
      <c r="A146" s="21"/>
      <c r="B146" s="21"/>
      <c r="C146" s="21"/>
      <c r="D146" s="21"/>
      <c r="E146" s="21"/>
      <c r="F146" s="21"/>
      <c r="G146" s="21"/>
      <c r="H146" s="21"/>
      <c r="I146" s="21"/>
      <c r="J146" s="21"/>
      <c r="K146" s="21"/>
      <c r="L146" s="22" t="str">
        <f t="shared" si="1"/>
        <v/>
      </c>
      <c r="M146" s="2"/>
      <c r="N146" s="2"/>
      <c r="O146" s="2"/>
      <c r="P146" s="2"/>
      <c r="Q146" s="2"/>
      <c r="R146" s="2"/>
      <c r="S146" s="2"/>
      <c r="T146" s="2"/>
      <c r="U146" s="2"/>
      <c r="V146" s="2"/>
      <c r="W146" s="2"/>
      <c r="X146" s="2"/>
      <c r="Y146" s="2"/>
      <c r="Z146" s="2"/>
    </row>
    <row r="147" ht="33.75" customHeight="1">
      <c r="A147" s="23"/>
      <c r="B147" s="23"/>
      <c r="C147" s="23"/>
      <c r="D147" s="23"/>
      <c r="E147" s="23"/>
      <c r="F147" s="23"/>
      <c r="G147" s="23"/>
      <c r="H147" s="23"/>
      <c r="I147" s="23"/>
      <c r="J147" s="23"/>
      <c r="K147" s="23"/>
      <c r="L147" s="22" t="str">
        <f t="shared" si="1"/>
        <v/>
      </c>
      <c r="M147" s="2"/>
      <c r="N147" s="2"/>
      <c r="O147" s="2"/>
      <c r="P147" s="2"/>
      <c r="Q147" s="2"/>
      <c r="R147" s="2"/>
      <c r="S147" s="2"/>
      <c r="T147" s="2"/>
      <c r="U147" s="2"/>
      <c r="V147" s="2"/>
      <c r="W147" s="2"/>
      <c r="X147" s="2"/>
      <c r="Y147" s="2"/>
      <c r="Z147" s="2"/>
    </row>
    <row r="148" ht="33.75" customHeight="1">
      <c r="A148" s="21"/>
      <c r="B148" s="21"/>
      <c r="C148" s="21"/>
      <c r="D148" s="21"/>
      <c r="E148" s="21"/>
      <c r="F148" s="21"/>
      <c r="G148" s="21"/>
      <c r="H148" s="21"/>
      <c r="I148" s="21"/>
      <c r="J148" s="21"/>
      <c r="K148" s="21"/>
      <c r="L148" s="22" t="str">
        <f t="shared" si="1"/>
        <v/>
      </c>
      <c r="M148" s="2"/>
      <c r="N148" s="2"/>
      <c r="O148" s="2"/>
      <c r="P148" s="2"/>
      <c r="Q148" s="2"/>
      <c r="R148" s="2"/>
      <c r="S148" s="2"/>
      <c r="T148" s="2"/>
      <c r="U148" s="2"/>
      <c r="V148" s="2"/>
      <c r="W148" s="2"/>
      <c r="X148" s="2"/>
      <c r="Y148" s="2"/>
      <c r="Z148" s="2"/>
    </row>
    <row r="149" ht="33.75" customHeight="1">
      <c r="A149" s="23"/>
      <c r="B149" s="23"/>
      <c r="C149" s="23"/>
      <c r="D149" s="23"/>
      <c r="E149" s="23"/>
      <c r="F149" s="23"/>
      <c r="G149" s="23"/>
      <c r="H149" s="23"/>
      <c r="I149" s="23"/>
      <c r="J149" s="23"/>
      <c r="K149" s="23"/>
      <c r="L149" s="22" t="str">
        <f t="shared" si="1"/>
        <v/>
      </c>
      <c r="M149" s="2"/>
      <c r="N149" s="2"/>
      <c r="O149" s="2"/>
      <c r="P149" s="2"/>
      <c r="Q149" s="2"/>
      <c r="R149" s="2"/>
      <c r="S149" s="2"/>
      <c r="T149" s="2"/>
      <c r="U149" s="2"/>
      <c r="V149" s="2"/>
      <c r="W149" s="2"/>
      <c r="X149" s="2"/>
      <c r="Y149" s="2"/>
      <c r="Z149" s="2"/>
    </row>
    <row r="150" ht="33.75" customHeight="1">
      <c r="A150" s="21"/>
      <c r="B150" s="21"/>
      <c r="C150" s="21"/>
      <c r="D150" s="21"/>
      <c r="E150" s="21"/>
      <c r="F150" s="21"/>
      <c r="G150" s="21"/>
      <c r="H150" s="21"/>
      <c r="I150" s="21"/>
      <c r="J150" s="21"/>
      <c r="K150" s="21"/>
      <c r="L150" s="22" t="str">
        <f t="shared" si="1"/>
        <v/>
      </c>
      <c r="M150" s="2"/>
      <c r="N150" s="2"/>
      <c r="O150" s="2"/>
      <c r="P150" s="2"/>
      <c r="Q150" s="2"/>
      <c r="R150" s="2"/>
      <c r="S150" s="2"/>
      <c r="T150" s="2"/>
      <c r="U150" s="2"/>
      <c r="V150" s="2"/>
      <c r="W150" s="2"/>
      <c r="X150" s="2"/>
      <c r="Y150" s="2"/>
      <c r="Z150" s="2"/>
    </row>
    <row r="151" ht="33.75" customHeight="1">
      <c r="A151" s="23"/>
      <c r="B151" s="23"/>
      <c r="C151" s="23"/>
      <c r="D151" s="23"/>
      <c r="E151" s="23"/>
      <c r="F151" s="23"/>
      <c r="G151" s="23"/>
      <c r="H151" s="23"/>
      <c r="I151" s="23"/>
      <c r="J151" s="23"/>
      <c r="K151" s="23"/>
      <c r="L151" s="22" t="str">
        <f t="shared" si="1"/>
        <v/>
      </c>
      <c r="M151" s="2"/>
      <c r="N151" s="2"/>
      <c r="O151" s="2"/>
      <c r="P151" s="2"/>
      <c r="Q151" s="2"/>
      <c r="R151" s="2"/>
      <c r="S151" s="2"/>
      <c r="T151" s="2"/>
      <c r="U151" s="2"/>
      <c r="V151" s="2"/>
      <c r="W151" s="2"/>
      <c r="X151" s="2"/>
      <c r="Y151" s="2"/>
      <c r="Z151" s="2"/>
    </row>
    <row r="152" ht="33.75" customHeight="1">
      <c r="A152" s="21"/>
      <c r="B152" s="21"/>
      <c r="C152" s="21"/>
      <c r="D152" s="21"/>
      <c r="E152" s="21"/>
      <c r="F152" s="21"/>
      <c r="G152" s="21"/>
      <c r="H152" s="21"/>
      <c r="I152" s="21"/>
      <c r="J152" s="21"/>
      <c r="K152" s="21"/>
      <c r="L152" s="22" t="str">
        <f t="shared" si="1"/>
        <v/>
      </c>
      <c r="M152" s="2"/>
      <c r="N152" s="2"/>
      <c r="O152" s="2"/>
      <c r="P152" s="2"/>
      <c r="Q152" s="2"/>
      <c r="R152" s="2"/>
      <c r="S152" s="2"/>
      <c r="T152" s="2"/>
      <c r="U152" s="2"/>
      <c r="V152" s="2"/>
      <c r="W152" s="2"/>
      <c r="X152" s="2"/>
      <c r="Y152" s="2"/>
      <c r="Z152" s="2"/>
    </row>
    <row r="153" ht="33.75" customHeight="1">
      <c r="A153" s="23"/>
      <c r="B153" s="23"/>
      <c r="C153" s="23"/>
      <c r="D153" s="23"/>
      <c r="E153" s="23"/>
      <c r="F153" s="23"/>
      <c r="G153" s="23"/>
      <c r="H153" s="23"/>
      <c r="I153" s="23"/>
      <c r="J153" s="23"/>
      <c r="K153" s="23"/>
      <c r="L153" s="22" t="str">
        <f t="shared" si="1"/>
        <v/>
      </c>
      <c r="M153" s="2"/>
      <c r="N153" s="2"/>
      <c r="O153" s="2"/>
      <c r="P153" s="2"/>
      <c r="Q153" s="2"/>
      <c r="R153" s="2"/>
      <c r="S153" s="2"/>
      <c r="T153" s="2"/>
      <c r="U153" s="2"/>
      <c r="V153" s="2"/>
      <c r="W153" s="2"/>
      <c r="X153" s="2"/>
      <c r="Y153" s="2"/>
      <c r="Z153" s="2"/>
    </row>
    <row r="154" ht="33.75" customHeight="1">
      <c r="A154" s="21"/>
      <c r="B154" s="21"/>
      <c r="C154" s="21"/>
      <c r="D154" s="21"/>
      <c r="E154" s="21"/>
      <c r="F154" s="21"/>
      <c r="G154" s="21"/>
      <c r="H154" s="21"/>
      <c r="I154" s="21"/>
      <c r="J154" s="21"/>
      <c r="K154" s="21"/>
      <c r="L154" s="22" t="str">
        <f t="shared" si="1"/>
        <v/>
      </c>
      <c r="M154" s="2"/>
      <c r="N154" s="2"/>
      <c r="O154" s="2"/>
      <c r="P154" s="2"/>
      <c r="Q154" s="2"/>
      <c r="R154" s="2"/>
      <c r="S154" s="2"/>
      <c r="T154" s="2"/>
      <c r="U154" s="2"/>
      <c r="V154" s="2"/>
      <c r="W154" s="2"/>
      <c r="X154" s="2"/>
      <c r="Y154" s="2"/>
      <c r="Z154" s="2"/>
    </row>
    <row r="155" ht="33.75" customHeight="1">
      <c r="A155" s="23"/>
      <c r="B155" s="23"/>
      <c r="C155" s="23"/>
      <c r="D155" s="23"/>
      <c r="E155" s="23"/>
      <c r="F155" s="23"/>
      <c r="G155" s="23"/>
      <c r="H155" s="23"/>
      <c r="I155" s="23"/>
      <c r="J155" s="23"/>
      <c r="K155" s="23"/>
      <c r="L155" s="22" t="str">
        <f t="shared" si="1"/>
        <v/>
      </c>
      <c r="M155" s="2"/>
      <c r="N155" s="2"/>
      <c r="O155" s="2"/>
      <c r="P155" s="2"/>
      <c r="Q155" s="2"/>
      <c r="R155" s="2"/>
      <c r="S155" s="2"/>
      <c r="T155" s="2"/>
      <c r="U155" s="2"/>
      <c r="V155" s="2"/>
      <c r="W155" s="2"/>
      <c r="X155" s="2"/>
      <c r="Y155" s="2"/>
      <c r="Z155" s="2"/>
    </row>
    <row r="156" ht="33.75" customHeight="1">
      <c r="A156" s="21"/>
      <c r="B156" s="21"/>
      <c r="C156" s="21"/>
      <c r="D156" s="21"/>
      <c r="E156" s="21"/>
      <c r="F156" s="21"/>
      <c r="G156" s="21"/>
      <c r="H156" s="21"/>
      <c r="I156" s="21"/>
      <c r="J156" s="21"/>
      <c r="K156" s="21"/>
      <c r="L156" s="22" t="str">
        <f t="shared" si="1"/>
        <v/>
      </c>
      <c r="M156" s="2"/>
      <c r="N156" s="2"/>
      <c r="O156" s="2"/>
      <c r="P156" s="2"/>
      <c r="Q156" s="2"/>
      <c r="R156" s="2"/>
      <c r="S156" s="2"/>
      <c r="T156" s="2"/>
      <c r="U156" s="2"/>
      <c r="V156" s="2"/>
      <c r="W156" s="2"/>
      <c r="X156" s="2"/>
      <c r="Y156" s="2"/>
      <c r="Z156" s="2"/>
    </row>
    <row r="157" ht="33.75" customHeight="1">
      <c r="A157" s="23"/>
      <c r="B157" s="23"/>
      <c r="C157" s="23"/>
      <c r="D157" s="23"/>
      <c r="E157" s="23"/>
      <c r="F157" s="23"/>
      <c r="G157" s="23"/>
      <c r="H157" s="23"/>
      <c r="I157" s="23"/>
      <c r="J157" s="23"/>
      <c r="K157" s="23"/>
      <c r="L157" s="22" t="str">
        <f t="shared" si="1"/>
        <v/>
      </c>
      <c r="M157" s="2"/>
      <c r="N157" s="2"/>
      <c r="O157" s="2"/>
      <c r="P157" s="2"/>
      <c r="Q157" s="2"/>
      <c r="R157" s="2"/>
      <c r="S157" s="2"/>
      <c r="T157" s="2"/>
      <c r="U157" s="2"/>
      <c r="V157" s="2"/>
      <c r="W157" s="2"/>
      <c r="X157" s="2"/>
      <c r="Y157" s="2"/>
      <c r="Z157" s="2"/>
    </row>
    <row r="158" ht="33.75" customHeight="1">
      <c r="A158" s="21"/>
      <c r="B158" s="21"/>
      <c r="C158" s="21"/>
      <c r="D158" s="21"/>
      <c r="E158" s="21"/>
      <c r="F158" s="21"/>
      <c r="G158" s="21"/>
      <c r="H158" s="21"/>
      <c r="I158" s="21"/>
      <c r="J158" s="21"/>
      <c r="K158" s="21"/>
      <c r="L158" s="22" t="str">
        <f t="shared" si="1"/>
        <v/>
      </c>
      <c r="M158" s="2"/>
      <c r="N158" s="2"/>
      <c r="O158" s="2"/>
      <c r="P158" s="2"/>
      <c r="Q158" s="2"/>
      <c r="R158" s="2"/>
      <c r="S158" s="2"/>
      <c r="T158" s="2"/>
      <c r="U158" s="2"/>
      <c r="V158" s="2"/>
      <c r="W158" s="2"/>
      <c r="X158" s="2"/>
      <c r="Y158" s="2"/>
      <c r="Z158" s="2"/>
    </row>
    <row r="159" ht="33.75" customHeight="1">
      <c r="A159" s="23"/>
      <c r="B159" s="23"/>
      <c r="C159" s="23"/>
      <c r="D159" s="23"/>
      <c r="E159" s="23"/>
      <c r="F159" s="23"/>
      <c r="G159" s="23"/>
      <c r="H159" s="23"/>
      <c r="I159" s="23"/>
      <c r="J159" s="23"/>
      <c r="K159" s="23"/>
      <c r="L159" s="22" t="str">
        <f t="shared" si="1"/>
        <v/>
      </c>
      <c r="M159" s="2"/>
      <c r="N159" s="2"/>
      <c r="O159" s="2"/>
      <c r="P159" s="2"/>
      <c r="Q159" s="2"/>
      <c r="R159" s="2"/>
      <c r="S159" s="2"/>
      <c r="T159" s="2"/>
      <c r="U159" s="2"/>
      <c r="V159" s="2"/>
      <c r="W159" s="2"/>
      <c r="X159" s="2"/>
      <c r="Y159" s="2"/>
      <c r="Z159" s="2"/>
    </row>
    <row r="160" ht="33.75" customHeight="1">
      <c r="A160" s="21"/>
      <c r="B160" s="21"/>
      <c r="C160" s="21"/>
      <c r="D160" s="21"/>
      <c r="E160" s="21"/>
      <c r="F160" s="21"/>
      <c r="G160" s="21"/>
      <c r="H160" s="21"/>
      <c r="I160" s="21"/>
      <c r="J160" s="21"/>
      <c r="K160" s="21"/>
      <c r="L160" s="22" t="str">
        <f t="shared" si="1"/>
        <v/>
      </c>
      <c r="M160" s="2"/>
      <c r="N160" s="2"/>
      <c r="O160" s="2"/>
      <c r="P160" s="2"/>
      <c r="Q160" s="2"/>
      <c r="R160" s="2"/>
      <c r="S160" s="2"/>
      <c r="T160" s="2"/>
      <c r="U160" s="2"/>
      <c r="V160" s="2"/>
      <c r="W160" s="2"/>
      <c r="X160" s="2"/>
      <c r="Y160" s="2"/>
      <c r="Z160" s="2"/>
    </row>
    <row r="161" ht="33.75" customHeight="1">
      <c r="A161" s="23"/>
      <c r="B161" s="23"/>
      <c r="C161" s="23"/>
      <c r="D161" s="23"/>
      <c r="E161" s="23"/>
      <c r="F161" s="23"/>
      <c r="G161" s="23"/>
      <c r="H161" s="23"/>
      <c r="I161" s="23"/>
      <c r="J161" s="23"/>
      <c r="K161" s="23"/>
      <c r="L161" s="22" t="str">
        <f t="shared" si="1"/>
        <v/>
      </c>
      <c r="M161" s="2"/>
      <c r="N161" s="2"/>
      <c r="O161" s="2"/>
      <c r="P161" s="2"/>
      <c r="Q161" s="2"/>
      <c r="R161" s="2"/>
      <c r="S161" s="2"/>
      <c r="T161" s="2"/>
      <c r="U161" s="2"/>
      <c r="V161" s="2"/>
      <c r="W161" s="2"/>
      <c r="X161" s="2"/>
      <c r="Y161" s="2"/>
      <c r="Z161" s="2"/>
    </row>
    <row r="162" ht="33.75" customHeight="1">
      <c r="A162" s="21"/>
      <c r="B162" s="21"/>
      <c r="C162" s="21"/>
      <c r="D162" s="21"/>
      <c r="E162" s="21"/>
      <c r="F162" s="21"/>
      <c r="G162" s="21"/>
      <c r="H162" s="21"/>
      <c r="I162" s="21"/>
      <c r="J162" s="21"/>
      <c r="K162" s="21"/>
      <c r="L162" s="22" t="str">
        <f t="shared" si="1"/>
        <v/>
      </c>
      <c r="M162" s="2"/>
      <c r="N162" s="2"/>
      <c r="O162" s="2"/>
      <c r="P162" s="2"/>
      <c r="Q162" s="2"/>
      <c r="R162" s="2"/>
      <c r="S162" s="2"/>
      <c r="T162" s="2"/>
      <c r="U162" s="2"/>
      <c r="V162" s="2"/>
      <c r="W162" s="2"/>
      <c r="X162" s="2"/>
      <c r="Y162" s="2"/>
      <c r="Z162" s="2"/>
    </row>
    <row r="163" ht="33.75" customHeight="1">
      <c r="A163" s="23"/>
      <c r="B163" s="23"/>
      <c r="C163" s="23"/>
      <c r="D163" s="23"/>
      <c r="E163" s="23"/>
      <c r="F163" s="23"/>
      <c r="G163" s="23"/>
      <c r="H163" s="23"/>
      <c r="I163" s="23"/>
      <c r="J163" s="23"/>
      <c r="K163" s="23"/>
      <c r="L163" s="22" t="str">
        <f t="shared" si="1"/>
        <v/>
      </c>
      <c r="M163" s="2"/>
      <c r="N163" s="2"/>
      <c r="O163" s="2"/>
      <c r="P163" s="2"/>
      <c r="Q163" s="2"/>
      <c r="R163" s="2"/>
      <c r="S163" s="2"/>
      <c r="T163" s="2"/>
      <c r="U163" s="2"/>
      <c r="V163" s="2"/>
      <c r="W163" s="2"/>
      <c r="X163" s="2"/>
      <c r="Y163" s="2"/>
      <c r="Z163" s="2"/>
    </row>
    <row r="164" ht="33.75" customHeight="1">
      <c r="A164" s="21"/>
      <c r="B164" s="21"/>
      <c r="C164" s="21"/>
      <c r="D164" s="21"/>
      <c r="E164" s="21"/>
      <c r="F164" s="21"/>
      <c r="G164" s="21"/>
      <c r="H164" s="21"/>
      <c r="I164" s="21"/>
      <c r="J164" s="21"/>
      <c r="K164" s="21"/>
      <c r="L164" s="22" t="str">
        <f t="shared" si="1"/>
        <v/>
      </c>
      <c r="M164" s="2"/>
      <c r="N164" s="2"/>
      <c r="O164" s="2"/>
      <c r="P164" s="2"/>
      <c r="Q164" s="2"/>
      <c r="R164" s="2"/>
      <c r="S164" s="2"/>
      <c r="T164" s="2"/>
      <c r="U164" s="2"/>
      <c r="V164" s="2"/>
      <c r="W164" s="2"/>
      <c r="X164" s="2"/>
      <c r="Y164" s="2"/>
      <c r="Z164" s="2"/>
    </row>
    <row r="165" ht="33.75" customHeight="1">
      <c r="A165" s="23"/>
      <c r="B165" s="23"/>
      <c r="C165" s="23"/>
      <c r="D165" s="23"/>
      <c r="E165" s="23"/>
      <c r="F165" s="23"/>
      <c r="G165" s="23"/>
      <c r="H165" s="23"/>
      <c r="I165" s="23"/>
      <c r="J165" s="23"/>
      <c r="K165" s="23"/>
      <c r="L165" s="22" t="str">
        <f t="shared" si="1"/>
        <v/>
      </c>
      <c r="M165" s="2"/>
      <c r="N165" s="2"/>
      <c r="O165" s="2"/>
      <c r="P165" s="2"/>
      <c r="Q165" s="2"/>
      <c r="R165" s="2"/>
      <c r="S165" s="2"/>
      <c r="T165" s="2"/>
      <c r="U165" s="2"/>
      <c r="V165" s="2"/>
      <c r="W165" s="2"/>
      <c r="X165" s="2"/>
      <c r="Y165" s="2"/>
      <c r="Z165" s="2"/>
    </row>
    <row r="166" ht="33.75" customHeight="1">
      <c r="A166" s="21"/>
      <c r="B166" s="21"/>
      <c r="C166" s="21"/>
      <c r="D166" s="21"/>
      <c r="E166" s="21"/>
      <c r="F166" s="21"/>
      <c r="G166" s="21"/>
      <c r="H166" s="21"/>
      <c r="I166" s="21"/>
      <c r="J166" s="21"/>
      <c r="K166" s="21"/>
      <c r="L166" s="22" t="str">
        <f t="shared" si="1"/>
        <v/>
      </c>
      <c r="M166" s="2"/>
      <c r="N166" s="2"/>
      <c r="O166" s="2"/>
      <c r="P166" s="2"/>
      <c r="Q166" s="2"/>
      <c r="R166" s="2"/>
      <c r="S166" s="2"/>
      <c r="T166" s="2"/>
      <c r="U166" s="2"/>
      <c r="V166" s="2"/>
      <c r="W166" s="2"/>
      <c r="X166" s="2"/>
      <c r="Y166" s="2"/>
      <c r="Z166" s="2"/>
    </row>
    <row r="167" ht="33.75" customHeight="1">
      <c r="A167" s="23"/>
      <c r="B167" s="23"/>
      <c r="C167" s="23"/>
      <c r="D167" s="23"/>
      <c r="E167" s="23"/>
      <c r="F167" s="23"/>
      <c r="G167" s="23"/>
      <c r="H167" s="23"/>
      <c r="I167" s="23"/>
      <c r="J167" s="23"/>
      <c r="K167" s="23"/>
      <c r="L167" s="22" t="str">
        <f t="shared" si="1"/>
        <v/>
      </c>
      <c r="M167" s="2"/>
      <c r="N167" s="2"/>
      <c r="O167" s="2"/>
      <c r="P167" s="2"/>
      <c r="Q167" s="2"/>
      <c r="R167" s="2"/>
      <c r="S167" s="2"/>
      <c r="T167" s="2"/>
      <c r="U167" s="2"/>
      <c r="V167" s="2"/>
      <c r="W167" s="2"/>
      <c r="X167" s="2"/>
      <c r="Y167" s="2"/>
      <c r="Z167" s="2"/>
    </row>
    <row r="168" ht="33.75" customHeight="1">
      <c r="A168" s="21"/>
      <c r="B168" s="21"/>
      <c r="C168" s="21"/>
      <c r="D168" s="21"/>
      <c r="E168" s="21"/>
      <c r="F168" s="21"/>
      <c r="G168" s="21"/>
      <c r="H168" s="21"/>
      <c r="I168" s="21"/>
      <c r="J168" s="21"/>
      <c r="K168" s="21"/>
      <c r="L168" s="22" t="str">
        <f t="shared" si="1"/>
        <v/>
      </c>
      <c r="M168" s="2"/>
      <c r="N168" s="2"/>
      <c r="O168" s="2"/>
      <c r="P168" s="2"/>
      <c r="Q168" s="2"/>
      <c r="R168" s="2"/>
      <c r="S168" s="2"/>
      <c r="T168" s="2"/>
      <c r="U168" s="2"/>
      <c r="V168" s="2"/>
      <c r="W168" s="2"/>
      <c r="X168" s="2"/>
      <c r="Y168" s="2"/>
      <c r="Z168" s="2"/>
    </row>
    <row r="169" ht="33.75" customHeight="1">
      <c r="A169" s="23"/>
      <c r="B169" s="23"/>
      <c r="C169" s="23"/>
      <c r="D169" s="23"/>
      <c r="E169" s="23"/>
      <c r="F169" s="23"/>
      <c r="G169" s="23"/>
      <c r="H169" s="23"/>
      <c r="I169" s="23"/>
      <c r="J169" s="23"/>
      <c r="K169" s="23"/>
      <c r="L169" s="22" t="str">
        <f t="shared" si="1"/>
        <v/>
      </c>
      <c r="M169" s="2"/>
      <c r="N169" s="2"/>
      <c r="O169" s="2"/>
      <c r="P169" s="2"/>
      <c r="Q169" s="2"/>
      <c r="R169" s="2"/>
      <c r="S169" s="2"/>
      <c r="T169" s="2"/>
      <c r="U169" s="2"/>
      <c r="V169" s="2"/>
      <c r="W169" s="2"/>
      <c r="X169" s="2"/>
      <c r="Y169" s="2"/>
      <c r="Z169" s="2"/>
    </row>
    <row r="170" ht="33.75" customHeight="1">
      <c r="A170" s="21"/>
      <c r="B170" s="21"/>
      <c r="C170" s="21"/>
      <c r="D170" s="21"/>
      <c r="E170" s="21"/>
      <c r="F170" s="21"/>
      <c r="G170" s="21"/>
      <c r="H170" s="21"/>
      <c r="I170" s="21"/>
      <c r="J170" s="21"/>
      <c r="K170" s="21"/>
      <c r="L170" s="22" t="str">
        <f t="shared" si="1"/>
        <v/>
      </c>
      <c r="M170" s="2"/>
      <c r="N170" s="2"/>
      <c r="O170" s="2"/>
      <c r="P170" s="2"/>
      <c r="Q170" s="2"/>
      <c r="R170" s="2"/>
      <c r="S170" s="2"/>
      <c r="T170" s="2"/>
      <c r="U170" s="2"/>
      <c r="V170" s="2"/>
      <c r="W170" s="2"/>
      <c r="X170" s="2"/>
      <c r="Y170" s="2"/>
      <c r="Z170" s="2"/>
    </row>
    <row r="171" ht="33.75" customHeight="1">
      <c r="A171" s="23"/>
      <c r="B171" s="23"/>
      <c r="C171" s="23"/>
      <c r="D171" s="23"/>
      <c r="E171" s="23"/>
      <c r="F171" s="23"/>
      <c r="G171" s="23"/>
      <c r="H171" s="23"/>
      <c r="I171" s="23"/>
      <c r="J171" s="23"/>
      <c r="K171" s="23"/>
      <c r="L171" s="22" t="str">
        <f t="shared" si="1"/>
        <v/>
      </c>
      <c r="M171" s="2"/>
      <c r="N171" s="2"/>
      <c r="O171" s="2"/>
      <c r="P171" s="2"/>
      <c r="Q171" s="2"/>
      <c r="R171" s="2"/>
      <c r="S171" s="2"/>
      <c r="T171" s="2"/>
      <c r="U171" s="2"/>
      <c r="V171" s="2"/>
      <c r="W171" s="2"/>
      <c r="X171" s="2"/>
      <c r="Y171" s="2"/>
      <c r="Z171" s="2"/>
    </row>
    <row r="172" ht="33.75" customHeight="1">
      <c r="A172" s="21"/>
      <c r="B172" s="21"/>
      <c r="C172" s="21"/>
      <c r="D172" s="21"/>
      <c r="E172" s="21"/>
      <c r="F172" s="21"/>
      <c r="G172" s="21"/>
      <c r="H172" s="21"/>
      <c r="I172" s="21"/>
      <c r="J172" s="21"/>
      <c r="K172" s="21"/>
      <c r="L172" s="22" t="str">
        <f t="shared" si="1"/>
        <v/>
      </c>
      <c r="M172" s="2"/>
      <c r="N172" s="2"/>
      <c r="O172" s="2"/>
      <c r="P172" s="2"/>
      <c r="Q172" s="2"/>
      <c r="R172" s="2"/>
      <c r="S172" s="2"/>
      <c r="T172" s="2"/>
      <c r="U172" s="2"/>
      <c r="V172" s="2"/>
      <c r="W172" s="2"/>
      <c r="X172" s="2"/>
      <c r="Y172" s="2"/>
      <c r="Z172" s="2"/>
    </row>
    <row r="173" ht="33.75" customHeight="1">
      <c r="A173" s="23"/>
      <c r="B173" s="23"/>
      <c r="C173" s="23"/>
      <c r="D173" s="23"/>
      <c r="E173" s="23"/>
      <c r="F173" s="23"/>
      <c r="G173" s="23"/>
      <c r="H173" s="23"/>
      <c r="I173" s="23"/>
      <c r="J173" s="23"/>
      <c r="K173" s="23"/>
      <c r="L173" s="22" t="str">
        <f t="shared" si="1"/>
        <v/>
      </c>
      <c r="M173" s="2"/>
      <c r="N173" s="2"/>
      <c r="O173" s="2"/>
      <c r="P173" s="2"/>
      <c r="Q173" s="2"/>
      <c r="R173" s="2"/>
      <c r="S173" s="2"/>
      <c r="T173" s="2"/>
      <c r="U173" s="2"/>
      <c r="V173" s="2"/>
      <c r="W173" s="2"/>
      <c r="X173" s="2"/>
      <c r="Y173" s="2"/>
      <c r="Z173" s="2"/>
    </row>
    <row r="174" ht="33.75" customHeight="1">
      <c r="A174" s="21"/>
      <c r="B174" s="21"/>
      <c r="C174" s="21"/>
      <c r="D174" s="21"/>
      <c r="E174" s="21"/>
      <c r="F174" s="21"/>
      <c r="G174" s="21"/>
      <c r="H174" s="21"/>
      <c r="I174" s="21"/>
      <c r="J174" s="21"/>
      <c r="K174" s="21"/>
      <c r="L174" s="22" t="str">
        <f t="shared" si="1"/>
        <v/>
      </c>
      <c r="M174" s="2"/>
      <c r="N174" s="2"/>
      <c r="O174" s="2"/>
      <c r="P174" s="2"/>
      <c r="Q174" s="2"/>
      <c r="R174" s="2"/>
      <c r="S174" s="2"/>
      <c r="T174" s="2"/>
      <c r="U174" s="2"/>
      <c r="V174" s="2"/>
      <c r="W174" s="2"/>
      <c r="X174" s="2"/>
      <c r="Y174" s="2"/>
      <c r="Z174" s="2"/>
    </row>
    <row r="175" ht="33.75" customHeight="1">
      <c r="A175" s="23"/>
      <c r="B175" s="23"/>
      <c r="C175" s="23"/>
      <c r="D175" s="23"/>
      <c r="E175" s="23"/>
      <c r="F175" s="23"/>
      <c r="G175" s="23"/>
      <c r="H175" s="23"/>
      <c r="I175" s="23"/>
      <c r="J175" s="23"/>
      <c r="K175" s="23"/>
      <c r="L175" s="22" t="str">
        <f t="shared" si="1"/>
        <v/>
      </c>
      <c r="M175" s="2"/>
      <c r="N175" s="2"/>
      <c r="O175" s="2"/>
      <c r="P175" s="2"/>
      <c r="Q175" s="2"/>
      <c r="R175" s="2"/>
      <c r="S175" s="2"/>
      <c r="T175" s="2"/>
      <c r="U175" s="2"/>
      <c r="V175" s="2"/>
      <c r="W175" s="2"/>
      <c r="X175" s="2"/>
      <c r="Y175" s="2"/>
      <c r="Z175" s="2"/>
    </row>
    <row r="176" ht="33.75" customHeight="1">
      <c r="A176" s="21"/>
      <c r="B176" s="21"/>
      <c r="C176" s="21"/>
      <c r="D176" s="21"/>
      <c r="E176" s="21"/>
      <c r="F176" s="21"/>
      <c r="G176" s="21"/>
      <c r="H176" s="21"/>
      <c r="I176" s="21"/>
      <c r="J176" s="21"/>
      <c r="K176" s="21"/>
      <c r="L176" s="22" t="str">
        <f t="shared" si="1"/>
        <v/>
      </c>
      <c r="M176" s="2"/>
      <c r="N176" s="2"/>
      <c r="O176" s="2"/>
      <c r="P176" s="2"/>
      <c r="Q176" s="2"/>
      <c r="R176" s="2"/>
      <c r="S176" s="2"/>
      <c r="T176" s="2"/>
      <c r="U176" s="2"/>
      <c r="V176" s="2"/>
      <c r="W176" s="2"/>
      <c r="X176" s="2"/>
      <c r="Y176" s="2"/>
      <c r="Z176" s="2"/>
    </row>
    <row r="177" ht="33.75" customHeight="1">
      <c r="A177" s="23"/>
      <c r="B177" s="23"/>
      <c r="C177" s="23"/>
      <c r="D177" s="23"/>
      <c r="E177" s="23"/>
      <c r="F177" s="23"/>
      <c r="G177" s="23"/>
      <c r="H177" s="23"/>
      <c r="I177" s="23"/>
      <c r="J177" s="23"/>
      <c r="K177" s="23"/>
      <c r="L177" s="22" t="str">
        <f t="shared" si="1"/>
        <v/>
      </c>
      <c r="M177" s="2"/>
      <c r="N177" s="2"/>
      <c r="O177" s="2"/>
      <c r="P177" s="2"/>
      <c r="Q177" s="2"/>
      <c r="R177" s="2"/>
      <c r="S177" s="2"/>
      <c r="T177" s="2"/>
      <c r="U177" s="2"/>
      <c r="V177" s="2"/>
      <c r="W177" s="2"/>
      <c r="X177" s="2"/>
      <c r="Y177" s="2"/>
      <c r="Z177" s="2"/>
    </row>
    <row r="178" ht="33.75" customHeight="1">
      <c r="A178" s="21"/>
      <c r="B178" s="21"/>
      <c r="C178" s="21"/>
      <c r="D178" s="21"/>
      <c r="E178" s="21"/>
      <c r="F178" s="21"/>
      <c r="G178" s="21"/>
      <c r="H178" s="21"/>
      <c r="I178" s="21"/>
      <c r="J178" s="21"/>
      <c r="K178" s="21"/>
      <c r="L178" s="22" t="str">
        <f t="shared" si="1"/>
        <v/>
      </c>
      <c r="M178" s="2"/>
      <c r="N178" s="2"/>
      <c r="O178" s="2"/>
      <c r="P178" s="2"/>
      <c r="Q178" s="2"/>
      <c r="R178" s="2"/>
      <c r="S178" s="2"/>
      <c r="T178" s="2"/>
      <c r="U178" s="2"/>
      <c r="V178" s="2"/>
      <c r="W178" s="2"/>
      <c r="X178" s="2"/>
      <c r="Y178" s="2"/>
      <c r="Z178" s="2"/>
    </row>
    <row r="179" ht="33.75" customHeight="1">
      <c r="A179" s="23"/>
      <c r="B179" s="23"/>
      <c r="C179" s="23"/>
      <c r="D179" s="23"/>
      <c r="E179" s="23"/>
      <c r="F179" s="23"/>
      <c r="G179" s="23"/>
      <c r="H179" s="23"/>
      <c r="I179" s="23"/>
      <c r="J179" s="23"/>
      <c r="K179" s="23"/>
      <c r="L179" s="22" t="str">
        <f t="shared" si="1"/>
        <v/>
      </c>
      <c r="M179" s="2"/>
      <c r="N179" s="2"/>
      <c r="O179" s="2"/>
      <c r="P179" s="2"/>
      <c r="Q179" s="2"/>
      <c r="R179" s="2"/>
      <c r="S179" s="2"/>
      <c r="T179" s="2"/>
      <c r="U179" s="2"/>
      <c r="V179" s="2"/>
      <c r="W179" s="2"/>
      <c r="X179" s="2"/>
      <c r="Y179" s="2"/>
      <c r="Z179" s="2"/>
    </row>
    <row r="180" ht="33.75" customHeight="1">
      <c r="A180" s="21"/>
      <c r="B180" s="21"/>
      <c r="C180" s="21"/>
      <c r="D180" s="21"/>
      <c r="E180" s="21"/>
      <c r="F180" s="21"/>
      <c r="G180" s="21"/>
      <c r="H180" s="21"/>
      <c r="I180" s="21"/>
      <c r="J180" s="21"/>
      <c r="K180" s="21"/>
      <c r="L180" s="22" t="str">
        <f t="shared" si="1"/>
        <v/>
      </c>
      <c r="M180" s="2"/>
      <c r="N180" s="2"/>
      <c r="O180" s="2"/>
      <c r="P180" s="2"/>
      <c r="Q180" s="2"/>
      <c r="R180" s="2"/>
      <c r="S180" s="2"/>
      <c r="T180" s="2"/>
      <c r="U180" s="2"/>
      <c r="V180" s="2"/>
      <c r="W180" s="2"/>
      <c r="X180" s="2"/>
      <c r="Y180" s="2"/>
      <c r="Z180" s="2"/>
    </row>
    <row r="181" ht="33.75" customHeight="1">
      <c r="A181" s="23"/>
      <c r="B181" s="23"/>
      <c r="C181" s="23"/>
      <c r="D181" s="23"/>
      <c r="E181" s="23"/>
      <c r="F181" s="23"/>
      <c r="G181" s="23"/>
      <c r="H181" s="23"/>
      <c r="I181" s="23"/>
      <c r="J181" s="23"/>
      <c r="K181" s="23"/>
      <c r="L181" s="22" t="str">
        <f t="shared" si="1"/>
        <v/>
      </c>
      <c r="M181" s="2"/>
      <c r="N181" s="2"/>
      <c r="O181" s="2"/>
      <c r="P181" s="2"/>
      <c r="Q181" s="2"/>
      <c r="R181" s="2"/>
      <c r="S181" s="2"/>
      <c r="T181" s="2"/>
      <c r="U181" s="2"/>
      <c r="V181" s="2"/>
      <c r="W181" s="2"/>
      <c r="X181" s="2"/>
      <c r="Y181" s="2"/>
      <c r="Z181" s="2"/>
    </row>
    <row r="182" ht="33.75" customHeight="1">
      <c r="A182" s="21"/>
      <c r="B182" s="21"/>
      <c r="C182" s="21"/>
      <c r="D182" s="21"/>
      <c r="E182" s="21"/>
      <c r="F182" s="21"/>
      <c r="G182" s="21"/>
      <c r="H182" s="21"/>
      <c r="I182" s="21"/>
      <c r="J182" s="21"/>
      <c r="K182" s="21"/>
      <c r="L182" s="22" t="str">
        <f t="shared" si="1"/>
        <v/>
      </c>
      <c r="M182" s="2"/>
      <c r="N182" s="2"/>
      <c r="O182" s="2"/>
      <c r="P182" s="2"/>
      <c r="Q182" s="2"/>
      <c r="R182" s="2"/>
      <c r="S182" s="2"/>
      <c r="T182" s="2"/>
      <c r="U182" s="2"/>
      <c r="V182" s="2"/>
      <c r="W182" s="2"/>
      <c r="X182" s="2"/>
      <c r="Y182" s="2"/>
      <c r="Z182" s="2"/>
    </row>
    <row r="183" ht="33.75" customHeight="1">
      <c r="A183" s="23"/>
      <c r="B183" s="23"/>
      <c r="C183" s="23"/>
      <c r="D183" s="23"/>
      <c r="E183" s="23"/>
      <c r="F183" s="23"/>
      <c r="G183" s="23"/>
      <c r="H183" s="23"/>
      <c r="I183" s="23"/>
      <c r="J183" s="23"/>
      <c r="K183" s="23"/>
      <c r="L183" s="22" t="str">
        <f t="shared" si="1"/>
        <v/>
      </c>
      <c r="M183" s="2"/>
      <c r="N183" s="2"/>
      <c r="O183" s="2"/>
      <c r="P183" s="2"/>
      <c r="Q183" s="2"/>
      <c r="R183" s="2"/>
      <c r="S183" s="2"/>
      <c r="T183" s="2"/>
      <c r="U183" s="2"/>
      <c r="V183" s="2"/>
      <c r="W183" s="2"/>
      <c r="X183" s="2"/>
      <c r="Y183" s="2"/>
      <c r="Z183" s="2"/>
    </row>
    <row r="184" ht="33.75" customHeight="1">
      <c r="A184" s="21"/>
      <c r="B184" s="21"/>
      <c r="C184" s="21"/>
      <c r="D184" s="21"/>
      <c r="E184" s="21"/>
      <c r="F184" s="21"/>
      <c r="G184" s="21"/>
      <c r="H184" s="21"/>
      <c r="I184" s="21"/>
      <c r="J184" s="21"/>
      <c r="K184" s="21"/>
      <c r="L184" s="22" t="str">
        <f t="shared" si="1"/>
        <v/>
      </c>
      <c r="M184" s="2"/>
      <c r="N184" s="2"/>
      <c r="O184" s="2"/>
      <c r="P184" s="2"/>
      <c r="Q184" s="2"/>
      <c r="R184" s="2"/>
      <c r="S184" s="2"/>
      <c r="T184" s="2"/>
      <c r="U184" s="2"/>
      <c r="V184" s="2"/>
      <c r="W184" s="2"/>
      <c r="X184" s="2"/>
      <c r="Y184" s="2"/>
      <c r="Z184" s="2"/>
    </row>
    <row r="185" ht="33.75" customHeight="1">
      <c r="A185" s="23"/>
      <c r="B185" s="23"/>
      <c r="C185" s="23"/>
      <c r="D185" s="23"/>
      <c r="E185" s="23"/>
      <c r="F185" s="23"/>
      <c r="G185" s="23"/>
      <c r="H185" s="23"/>
      <c r="I185" s="23"/>
      <c r="J185" s="23"/>
      <c r="K185" s="23"/>
      <c r="L185" s="22" t="str">
        <f t="shared" si="1"/>
        <v/>
      </c>
      <c r="M185" s="2"/>
      <c r="N185" s="2"/>
      <c r="O185" s="2"/>
      <c r="P185" s="2"/>
      <c r="Q185" s="2"/>
      <c r="R185" s="2"/>
      <c r="S185" s="2"/>
      <c r="T185" s="2"/>
      <c r="U185" s="2"/>
      <c r="V185" s="2"/>
      <c r="W185" s="2"/>
      <c r="X185" s="2"/>
      <c r="Y185" s="2"/>
      <c r="Z185" s="2"/>
    </row>
    <row r="186" ht="33.75" customHeight="1">
      <c r="A186" s="21"/>
      <c r="B186" s="21"/>
      <c r="C186" s="21"/>
      <c r="D186" s="21"/>
      <c r="E186" s="21"/>
      <c r="F186" s="21"/>
      <c r="G186" s="21"/>
      <c r="H186" s="21"/>
      <c r="I186" s="21"/>
      <c r="J186" s="21"/>
      <c r="K186" s="21"/>
      <c r="L186" s="22" t="str">
        <f t="shared" si="1"/>
        <v/>
      </c>
      <c r="M186" s="2"/>
      <c r="N186" s="2"/>
      <c r="O186" s="2"/>
      <c r="P186" s="2"/>
      <c r="Q186" s="2"/>
      <c r="R186" s="2"/>
      <c r="S186" s="2"/>
      <c r="T186" s="2"/>
      <c r="U186" s="2"/>
      <c r="V186" s="2"/>
      <c r="W186" s="2"/>
      <c r="X186" s="2"/>
      <c r="Y186" s="2"/>
      <c r="Z186" s="2"/>
    </row>
    <row r="187" ht="33.75" customHeight="1">
      <c r="A187" s="23"/>
      <c r="B187" s="23"/>
      <c r="C187" s="23"/>
      <c r="D187" s="23"/>
      <c r="E187" s="23"/>
      <c r="F187" s="23"/>
      <c r="G187" s="23"/>
      <c r="H187" s="23"/>
      <c r="I187" s="23"/>
      <c r="J187" s="23"/>
      <c r="K187" s="23"/>
      <c r="L187" s="22" t="str">
        <f t="shared" si="1"/>
        <v/>
      </c>
      <c r="M187" s="2"/>
      <c r="N187" s="2"/>
      <c r="O187" s="2"/>
      <c r="P187" s="2"/>
      <c r="Q187" s="2"/>
      <c r="R187" s="2"/>
      <c r="S187" s="2"/>
      <c r="T187" s="2"/>
      <c r="U187" s="2"/>
      <c r="V187" s="2"/>
      <c r="W187" s="2"/>
      <c r="X187" s="2"/>
      <c r="Y187" s="2"/>
      <c r="Z187" s="2"/>
    </row>
    <row r="188" ht="33.75" customHeight="1">
      <c r="A188" s="21"/>
      <c r="B188" s="21"/>
      <c r="C188" s="21"/>
      <c r="D188" s="21"/>
      <c r="E188" s="21"/>
      <c r="F188" s="21"/>
      <c r="G188" s="21"/>
      <c r="H188" s="21"/>
      <c r="I188" s="21"/>
      <c r="J188" s="21"/>
      <c r="K188" s="21"/>
      <c r="L188" s="22" t="str">
        <f t="shared" si="1"/>
        <v/>
      </c>
      <c r="M188" s="2"/>
      <c r="N188" s="2"/>
      <c r="O188" s="2"/>
      <c r="P188" s="2"/>
      <c r="Q188" s="2"/>
      <c r="R188" s="2"/>
      <c r="S188" s="2"/>
      <c r="T188" s="2"/>
      <c r="U188" s="2"/>
      <c r="V188" s="2"/>
      <c r="W188" s="2"/>
      <c r="X188" s="2"/>
      <c r="Y188" s="2"/>
      <c r="Z188" s="2"/>
    </row>
    <row r="189" ht="33.75" customHeight="1">
      <c r="A189" s="23"/>
      <c r="B189" s="23"/>
      <c r="C189" s="23"/>
      <c r="D189" s="23"/>
      <c r="E189" s="23"/>
      <c r="F189" s="23"/>
      <c r="G189" s="23"/>
      <c r="H189" s="23"/>
      <c r="I189" s="23"/>
      <c r="J189" s="23"/>
      <c r="K189" s="23"/>
      <c r="L189" s="22" t="str">
        <f t="shared" si="1"/>
        <v/>
      </c>
      <c r="M189" s="2"/>
      <c r="N189" s="2"/>
      <c r="O189" s="2"/>
      <c r="P189" s="2"/>
      <c r="Q189" s="2"/>
      <c r="R189" s="2"/>
      <c r="S189" s="2"/>
      <c r="T189" s="2"/>
      <c r="U189" s="2"/>
      <c r="V189" s="2"/>
      <c r="W189" s="2"/>
      <c r="X189" s="2"/>
      <c r="Y189" s="2"/>
      <c r="Z189" s="2"/>
    </row>
    <row r="190" ht="33.75" customHeight="1">
      <c r="A190" s="21"/>
      <c r="B190" s="21"/>
      <c r="C190" s="21"/>
      <c r="D190" s="21"/>
      <c r="E190" s="21"/>
      <c r="F190" s="21"/>
      <c r="G190" s="21"/>
      <c r="H190" s="21"/>
      <c r="I190" s="21"/>
      <c r="J190" s="21"/>
      <c r="K190" s="21"/>
      <c r="L190" s="22" t="str">
        <f t="shared" si="1"/>
        <v/>
      </c>
      <c r="M190" s="2"/>
      <c r="N190" s="2"/>
      <c r="O190" s="2"/>
      <c r="P190" s="2"/>
      <c r="Q190" s="2"/>
      <c r="R190" s="2"/>
      <c r="S190" s="2"/>
      <c r="T190" s="2"/>
      <c r="U190" s="2"/>
      <c r="V190" s="2"/>
      <c r="W190" s="2"/>
      <c r="X190" s="2"/>
      <c r="Y190" s="2"/>
      <c r="Z190" s="2"/>
    </row>
    <row r="191" ht="33.75" customHeight="1">
      <c r="A191" s="23"/>
      <c r="B191" s="23"/>
      <c r="C191" s="23"/>
      <c r="D191" s="23"/>
      <c r="E191" s="23"/>
      <c r="F191" s="23"/>
      <c r="G191" s="23"/>
      <c r="H191" s="23"/>
      <c r="I191" s="23"/>
      <c r="J191" s="23"/>
      <c r="K191" s="23"/>
      <c r="L191" s="22" t="str">
        <f t="shared" si="1"/>
        <v/>
      </c>
      <c r="M191" s="2"/>
      <c r="N191" s="2"/>
      <c r="O191" s="2"/>
      <c r="P191" s="2"/>
      <c r="Q191" s="2"/>
      <c r="R191" s="2"/>
      <c r="S191" s="2"/>
      <c r="T191" s="2"/>
      <c r="U191" s="2"/>
      <c r="V191" s="2"/>
      <c r="W191" s="2"/>
      <c r="X191" s="2"/>
      <c r="Y191" s="2"/>
      <c r="Z191" s="2"/>
    </row>
    <row r="192" ht="33.75" customHeight="1">
      <c r="A192" s="21"/>
      <c r="B192" s="21"/>
      <c r="C192" s="21"/>
      <c r="D192" s="21"/>
      <c r="E192" s="21"/>
      <c r="F192" s="21"/>
      <c r="G192" s="21"/>
      <c r="H192" s="21"/>
      <c r="I192" s="21"/>
      <c r="J192" s="21"/>
      <c r="K192" s="21"/>
      <c r="L192" s="22" t="str">
        <f t="shared" si="1"/>
        <v/>
      </c>
      <c r="M192" s="2"/>
      <c r="N192" s="2"/>
      <c r="O192" s="2"/>
      <c r="P192" s="2"/>
      <c r="Q192" s="2"/>
      <c r="R192" s="2"/>
      <c r="S192" s="2"/>
      <c r="T192" s="2"/>
      <c r="U192" s="2"/>
      <c r="V192" s="2"/>
      <c r="W192" s="2"/>
      <c r="X192" s="2"/>
      <c r="Y192" s="2"/>
      <c r="Z192" s="2"/>
    </row>
    <row r="193" ht="33.75" customHeight="1">
      <c r="A193" s="23"/>
      <c r="B193" s="23"/>
      <c r="C193" s="23"/>
      <c r="D193" s="23"/>
      <c r="E193" s="23"/>
      <c r="F193" s="23"/>
      <c r="G193" s="23"/>
      <c r="H193" s="23"/>
      <c r="I193" s="23"/>
      <c r="J193" s="23"/>
      <c r="K193" s="23"/>
      <c r="L193" s="22" t="str">
        <f t="shared" si="1"/>
        <v/>
      </c>
      <c r="M193" s="2"/>
      <c r="N193" s="2"/>
      <c r="O193" s="2"/>
      <c r="P193" s="2"/>
      <c r="Q193" s="2"/>
      <c r="R193" s="2"/>
      <c r="S193" s="2"/>
      <c r="T193" s="2"/>
      <c r="U193" s="2"/>
      <c r="V193" s="2"/>
      <c r="W193" s="2"/>
      <c r="X193" s="2"/>
      <c r="Y193" s="2"/>
      <c r="Z193" s="2"/>
    </row>
    <row r="194" ht="33.75" customHeight="1">
      <c r="A194" s="21"/>
      <c r="B194" s="21"/>
      <c r="C194" s="21"/>
      <c r="D194" s="21"/>
      <c r="E194" s="21"/>
      <c r="F194" s="21"/>
      <c r="G194" s="21"/>
      <c r="H194" s="21"/>
      <c r="I194" s="21"/>
      <c r="J194" s="21"/>
      <c r="K194" s="21"/>
      <c r="L194" s="22" t="str">
        <f t="shared" si="1"/>
        <v/>
      </c>
      <c r="M194" s="2"/>
      <c r="N194" s="2"/>
      <c r="O194" s="2"/>
      <c r="P194" s="2"/>
      <c r="Q194" s="2"/>
      <c r="R194" s="2"/>
      <c r="S194" s="2"/>
      <c r="T194" s="2"/>
      <c r="U194" s="2"/>
      <c r="V194" s="2"/>
      <c r="W194" s="2"/>
      <c r="X194" s="2"/>
      <c r="Y194" s="2"/>
      <c r="Z194" s="2"/>
    </row>
    <row r="195" ht="33.75" customHeight="1">
      <c r="A195" s="23"/>
      <c r="B195" s="23"/>
      <c r="C195" s="23"/>
      <c r="D195" s="23"/>
      <c r="E195" s="23"/>
      <c r="F195" s="23"/>
      <c r="G195" s="23"/>
      <c r="H195" s="23"/>
      <c r="I195" s="23"/>
      <c r="J195" s="23"/>
      <c r="K195" s="23"/>
      <c r="L195" s="22" t="str">
        <f t="shared" si="1"/>
        <v/>
      </c>
      <c r="M195" s="2"/>
      <c r="N195" s="2"/>
      <c r="O195" s="2"/>
      <c r="P195" s="2"/>
      <c r="Q195" s="2"/>
      <c r="R195" s="2"/>
      <c r="S195" s="2"/>
      <c r="T195" s="2"/>
      <c r="U195" s="2"/>
      <c r="V195" s="2"/>
      <c r="W195" s="2"/>
      <c r="X195" s="2"/>
      <c r="Y195" s="2"/>
      <c r="Z195" s="2"/>
    </row>
    <row r="196" ht="33.75" customHeight="1">
      <c r="A196" s="21"/>
      <c r="B196" s="21"/>
      <c r="C196" s="21"/>
      <c r="D196" s="21"/>
      <c r="E196" s="21"/>
      <c r="F196" s="21"/>
      <c r="G196" s="21"/>
      <c r="H196" s="21"/>
      <c r="I196" s="21"/>
      <c r="J196" s="21"/>
      <c r="K196" s="21"/>
      <c r="L196" s="22" t="str">
        <f t="shared" si="1"/>
        <v/>
      </c>
      <c r="M196" s="2"/>
      <c r="N196" s="2"/>
      <c r="O196" s="2"/>
      <c r="P196" s="2"/>
      <c r="Q196" s="2"/>
      <c r="R196" s="2"/>
      <c r="S196" s="2"/>
      <c r="T196" s="2"/>
      <c r="U196" s="2"/>
      <c r="V196" s="2"/>
      <c r="W196" s="2"/>
      <c r="X196" s="2"/>
      <c r="Y196" s="2"/>
      <c r="Z196" s="2"/>
    </row>
    <row r="197" ht="33.75" customHeight="1">
      <c r="A197" s="23"/>
      <c r="B197" s="23"/>
      <c r="C197" s="23"/>
      <c r="D197" s="23"/>
      <c r="E197" s="23"/>
      <c r="F197" s="23"/>
      <c r="G197" s="23"/>
      <c r="H197" s="23"/>
      <c r="I197" s="23"/>
      <c r="J197" s="23"/>
      <c r="K197" s="23"/>
      <c r="L197" s="22" t="str">
        <f t="shared" si="1"/>
        <v/>
      </c>
      <c r="M197" s="2"/>
      <c r="N197" s="2"/>
      <c r="O197" s="2"/>
      <c r="P197" s="2"/>
      <c r="Q197" s="2"/>
      <c r="R197" s="2"/>
      <c r="S197" s="2"/>
      <c r="T197" s="2"/>
      <c r="U197" s="2"/>
      <c r="V197" s="2"/>
      <c r="W197" s="2"/>
      <c r="X197" s="2"/>
      <c r="Y197" s="2"/>
      <c r="Z197" s="2"/>
    </row>
    <row r="198" ht="33.75" customHeight="1">
      <c r="A198" s="21"/>
      <c r="B198" s="21"/>
      <c r="C198" s="21"/>
      <c r="D198" s="21"/>
      <c r="E198" s="21"/>
      <c r="F198" s="21"/>
      <c r="G198" s="21"/>
      <c r="H198" s="21"/>
      <c r="I198" s="21"/>
      <c r="J198" s="21"/>
      <c r="K198" s="21"/>
      <c r="L198" s="22" t="str">
        <f t="shared" si="1"/>
        <v/>
      </c>
      <c r="M198" s="2"/>
      <c r="N198" s="2"/>
      <c r="O198" s="2"/>
      <c r="P198" s="2"/>
      <c r="Q198" s="2"/>
      <c r="R198" s="2"/>
      <c r="S198" s="2"/>
      <c r="T198" s="2"/>
      <c r="U198" s="2"/>
      <c r="V198" s="2"/>
      <c r="W198" s="2"/>
      <c r="X198" s="2"/>
      <c r="Y198" s="2"/>
      <c r="Z198" s="2"/>
    </row>
    <row r="199" ht="33.75" customHeight="1">
      <c r="A199" s="23"/>
      <c r="B199" s="23"/>
      <c r="C199" s="23"/>
      <c r="D199" s="23"/>
      <c r="E199" s="23"/>
      <c r="F199" s="23"/>
      <c r="G199" s="23"/>
      <c r="H199" s="23"/>
      <c r="I199" s="23"/>
      <c r="J199" s="23"/>
      <c r="K199" s="23"/>
      <c r="L199" s="22" t="str">
        <f t="shared" si="1"/>
        <v/>
      </c>
      <c r="M199" s="2"/>
      <c r="N199" s="2"/>
      <c r="O199" s="2"/>
      <c r="P199" s="2"/>
      <c r="Q199" s="2"/>
      <c r="R199" s="2"/>
      <c r="S199" s="2"/>
      <c r="T199" s="2"/>
      <c r="U199" s="2"/>
      <c r="V199" s="2"/>
      <c r="W199" s="2"/>
      <c r="X199" s="2"/>
      <c r="Y199" s="2"/>
      <c r="Z199" s="2"/>
    </row>
    <row r="200" ht="33.75" customHeight="1">
      <c r="A200" s="21"/>
      <c r="B200" s="21"/>
      <c r="C200" s="21"/>
      <c r="D200" s="21"/>
      <c r="E200" s="21"/>
      <c r="F200" s="21"/>
      <c r="G200" s="21"/>
      <c r="H200" s="21"/>
      <c r="I200" s="21"/>
      <c r="J200" s="21"/>
      <c r="K200" s="21"/>
      <c r="L200" s="22" t="str">
        <f t="shared" si="1"/>
        <v/>
      </c>
      <c r="M200" s="2"/>
      <c r="N200" s="2"/>
      <c r="O200" s="2"/>
      <c r="P200" s="2"/>
      <c r="Q200" s="2"/>
      <c r="R200" s="2"/>
      <c r="S200" s="2"/>
      <c r="T200" s="2"/>
      <c r="U200" s="2"/>
      <c r="V200" s="2"/>
      <c r="W200" s="2"/>
      <c r="X200" s="2"/>
      <c r="Y200" s="2"/>
      <c r="Z200" s="2"/>
    </row>
    <row r="201" ht="33.75" customHeight="1">
      <c r="A201" s="23"/>
      <c r="B201" s="23"/>
      <c r="C201" s="23"/>
      <c r="D201" s="23"/>
      <c r="E201" s="23"/>
      <c r="F201" s="23"/>
      <c r="G201" s="23"/>
      <c r="H201" s="23"/>
      <c r="I201" s="23"/>
      <c r="J201" s="23"/>
      <c r="K201" s="23"/>
      <c r="L201" s="22" t="str">
        <f t="shared" si="1"/>
        <v/>
      </c>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row>
    <row r="403" ht="15.75" customHeight="1">
      <c r="A403" s="2"/>
      <c r="B403" s="2"/>
      <c r="C403" s="2"/>
      <c r="D403" s="2"/>
      <c r="E403" s="2"/>
      <c r="F403" s="2"/>
      <c r="G403" s="2"/>
      <c r="H403" s="2"/>
      <c r="I403" s="2"/>
      <c r="J403" s="2"/>
      <c r="K403" s="2"/>
      <c r="L403" s="2"/>
    </row>
    <row r="404" ht="15.75" customHeight="1">
      <c r="A404" s="2"/>
      <c r="B404" s="2"/>
      <c r="C404" s="2"/>
      <c r="D404" s="2"/>
      <c r="E404" s="2"/>
      <c r="F404" s="2"/>
      <c r="G404" s="2"/>
      <c r="H404" s="2"/>
      <c r="I404" s="2"/>
      <c r="J404" s="2"/>
      <c r="K404" s="2"/>
      <c r="L404" s="2"/>
    </row>
    <row r="405" ht="15.75" customHeight="1">
      <c r="A405" s="2"/>
      <c r="B405" s="2"/>
      <c r="C405" s="2"/>
      <c r="D405" s="2"/>
      <c r="E405" s="2"/>
      <c r="F405" s="2"/>
      <c r="G405" s="2"/>
      <c r="H405" s="2"/>
      <c r="I405" s="2"/>
      <c r="J405" s="2"/>
      <c r="K405" s="2"/>
      <c r="L405" s="2"/>
    </row>
    <row r="406" ht="15.75" customHeight="1">
      <c r="A406" s="2"/>
      <c r="B406" s="2"/>
      <c r="C406" s="2"/>
      <c r="D406" s="2"/>
      <c r="E406" s="2"/>
      <c r="F406" s="2"/>
      <c r="G406" s="2"/>
      <c r="H406" s="2"/>
      <c r="I406" s="2"/>
      <c r="J406" s="2"/>
      <c r="K406" s="2"/>
      <c r="L406" s="2"/>
    </row>
    <row r="407" ht="15.75" customHeight="1">
      <c r="A407" s="2"/>
      <c r="B407" s="2"/>
      <c r="C407" s="2"/>
      <c r="D407" s="2"/>
      <c r="E407" s="2"/>
      <c r="F407" s="2"/>
      <c r="G407" s="2"/>
      <c r="H407" s="2"/>
      <c r="I407" s="2"/>
      <c r="J407" s="2"/>
      <c r="K407" s="2"/>
      <c r="L407" s="2"/>
    </row>
    <row r="408" ht="15.75" customHeight="1">
      <c r="A408" s="2"/>
      <c r="B408" s="2"/>
      <c r="C408" s="2"/>
      <c r="D408" s="2"/>
      <c r="E408" s="2"/>
      <c r="F408" s="2"/>
      <c r="G408" s="2"/>
      <c r="H408" s="2"/>
      <c r="I408" s="2"/>
      <c r="J408" s="2"/>
      <c r="K408" s="2"/>
      <c r="L408" s="2"/>
    </row>
    <row r="409" ht="15.75" customHeight="1">
      <c r="A409" s="2"/>
      <c r="B409" s="2"/>
      <c r="C409" s="2"/>
      <c r="D409" s="2"/>
      <c r="E409" s="2"/>
      <c r="F409" s="2"/>
      <c r="G409" s="2"/>
      <c r="H409" s="2"/>
      <c r="I409" s="2"/>
      <c r="J409" s="2"/>
      <c r="K409" s="2"/>
      <c r="L409" s="2"/>
    </row>
    <row r="410" ht="15.75" customHeight="1">
      <c r="A410" s="2"/>
      <c r="B410" s="2"/>
      <c r="C410" s="2"/>
      <c r="D410" s="2"/>
      <c r="E410" s="2"/>
      <c r="F410" s="2"/>
      <c r="G410" s="2"/>
      <c r="H410" s="2"/>
      <c r="I410" s="2"/>
      <c r="J410" s="2"/>
      <c r="K410" s="2"/>
      <c r="L410" s="2"/>
    </row>
    <row r="411" ht="15.75" customHeight="1">
      <c r="A411" s="2"/>
      <c r="B411" s="2"/>
      <c r="C411" s="2"/>
      <c r="D411" s="2"/>
      <c r="E411" s="2"/>
      <c r="F411" s="2"/>
      <c r="G411" s="2"/>
      <c r="H411" s="2"/>
      <c r="I411" s="2"/>
      <c r="J411" s="2"/>
      <c r="K411" s="2"/>
      <c r="L411" s="2"/>
    </row>
    <row r="412" ht="15.75" customHeight="1">
      <c r="A412" s="2"/>
      <c r="B412" s="2"/>
      <c r="C412" s="2"/>
      <c r="D412" s="2"/>
      <c r="E412" s="2"/>
      <c r="F412" s="2"/>
      <c r="G412" s="2"/>
      <c r="H412" s="2"/>
      <c r="I412" s="2"/>
      <c r="J412" s="2"/>
      <c r="K412" s="2"/>
      <c r="L412" s="2"/>
    </row>
    <row r="413" ht="15.75" customHeight="1">
      <c r="A413" s="2"/>
      <c r="B413" s="2"/>
      <c r="C413" s="2"/>
      <c r="D413" s="2"/>
      <c r="E413" s="2"/>
      <c r="F413" s="2"/>
      <c r="G413" s="2"/>
      <c r="H413" s="2"/>
      <c r="I413" s="2"/>
      <c r="J413" s="2"/>
      <c r="K413" s="2"/>
      <c r="L413" s="2"/>
    </row>
    <row r="414" ht="15.75" customHeight="1">
      <c r="A414" s="2"/>
      <c r="B414" s="2"/>
      <c r="C414" s="2"/>
      <c r="D414" s="2"/>
      <c r="E414" s="2"/>
      <c r="F414" s="2"/>
      <c r="G414" s="2"/>
      <c r="H414" s="2"/>
      <c r="I414" s="2"/>
      <c r="J414" s="2"/>
      <c r="K414" s="2"/>
      <c r="L414" s="2"/>
    </row>
    <row r="415" ht="15.75" customHeight="1">
      <c r="A415" s="2"/>
      <c r="B415" s="2"/>
      <c r="C415" s="2"/>
      <c r="D415" s="2"/>
      <c r="E415" s="2"/>
      <c r="F415" s="2"/>
      <c r="G415" s="2"/>
      <c r="H415" s="2"/>
      <c r="I415" s="2"/>
      <c r="J415" s="2"/>
      <c r="K415" s="2"/>
      <c r="L415" s="2"/>
    </row>
    <row r="416" ht="15.75" customHeight="1">
      <c r="A416" s="2"/>
      <c r="B416" s="2"/>
      <c r="C416" s="2"/>
      <c r="D416" s="2"/>
      <c r="E416" s="2"/>
      <c r="F416" s="2"/>
      <c r="G416" s="2"/>
      <c r="H416" s="2"/>
      <c r="I416" s="2"/>
      <c r="J416" s="2"/>
      <c r="K416" s="2"/>
      <c r="L416" s="2"/>
    </row>
    <row r="417" ht="15.75" customHeight="1">
      <c r="A417" s="2"/>
      <c r="B417" s="2"/>
      <c r="C417" s="2"/>
      <c r="D417" s="2"/>
      <c r="E417" s="2"/>
      <c r="F417" s="2"/>
      <c r="G417" s="2"/>
      <c r="H417" s="2"/>
      <c r="I417" s="2"/>
      <c r="J417" s="2"/>
      <c r="K417" s="2"/>
      <c r="L417" s="2"/>
    </row>
    <row r="418" ht="15.75" customHeight="1">
      <c r="A418" s="2"/>
      <c r="B418" s="2"/>
      <c r="C418" s="2"/>
      <c r="D418" s="2"/>
      <c r="E418" s="2"/>
      <c r="F418" s="2"/>
      <c r="G418" s="2"/>
      <c r="H418" s="2"/>
      <c r="I418" s="2"/>
      <c r="J418" s="2"/>
      <c r="K418" s="2"/>
      <c r="L418" s="2"/>
    </row>
    <row r="419" ht="15.75" customHeight="1">
      <c r="A419" s="2"/>
      <c r="B419" s="2"/>
      <c r="C419" s="2"/>
      <c r="D419" s="2"/>
      <c r="E419" s="2"/>
      <c r="F419" s="2"/>
      <c r="G419" s="2"/>
      <c r="H419" s="2"/>
      <c r="I419" s="2"/>
      <c r="J419" s="2"/>
      <c r="K419" s="2"/>
      <c r="L419" s="2"/>
    </row>
    <row r="420" ht="15.75" customHeight="1">
      <c r="A420" s="2"/>
      <c r="B420" s="2"/>
      <c r="C420" s="2"/>
      <c r="D420" s="2"/>
      <c r="E420" s="2"/>
      <c r="F420" s="2"/>
      <c r="G420" s="2"/>
      <c r="H420" s="2"/>
      <c r="I420" s="2"/>
      <c r="J420" s="2"/>
      <c r="K420" s="2"/>
      <c r="L420" s="2"/>
    </row>
    <row r="421" ht="15.75" customHeight="1">
      <c r="A421" s="2"/>
      <c r="B421" s="2"/>
      <c r="C421" s="2"/>
      <c r="D421" s="2"/>
      <c r="E421" s="2"/>
      <c r="F421" s="2"/>
      <c r="G421" s="2"/>
      <c r="H421" s="2"/>
      <c r="I421" s="2"/>
      <c r="J421" s="2"/>
      <c r="K421" s="2"/>
      <c r="L421" s="2"/>
    </row>
    <row r="422" ht="15.75" customHeight="1">
      <c r="A422" s="2"/>
      <c r="B422" s="2"/>
      <c r="C422" s="2"/>
      <c r="D422" s="2"/>
      <c r="E422" s="2"/>
      <c r="F422" s="2"/>
      <c r="G422" s="2"/>
      <c r="H422" s="2"/>
      <c r="I422" s="2"/>
      <c r="J422" s="2"/>
      <c r="K422" s="2"/>
      <c r="L422" s="2"/>
    </row>
    <row r="423" ht="15.75" customHeight="1">
      <c r="A423" s="2"/>
      <c r="B423" s="2"/>
      <c r="C423" s="2"/>
      <c r="D423" s="2"/>
      <c r="E423" s="2"/>
      <c r="F423" s="2"/>
      <c r="G423" s="2"/>
      <c r="H423" s="2"/>
      <c r="I423" s="2"/>
      <c r="J423" s="2"/>
      <c r="K423" s="2"/>
      <c r="L423" s="2"/>
    </row>
    <row r="424" ht="15.75" customHeight="1">
      <c r="A424" s="2"/>
      <c r="B424" s="2"/>
      <c r="C424" s="2"/>
      <c r="D424" s="2"/>
      <c r="E424" s="2"/>
      <c r="F424" s="2"/>
      <c r="G424" s="2"/>
      <c r="H424" s="2"/>
      <c r="I424" s="2"/>
      <c r="J424" s="2"/>
      <c r="K424" s="2"/>
      <c r="L424" s="2"/>
    </row>
    <row r="425" ht="15.75" customHeight="1">
      <c r="A425" s="2"/>
      <c r="B425" s="2"/>
      <c r="C425" s="2"/>
      <c r="D425" s="2"/>
      <c r="E425" s="2"/>
      <c r="F425" s="2"/>
      <c r="G425" s="2"/>
      <c r="H425" s="2"/>
      <c r="I425" s="2"/>
      <c r="J425" s="2"/>
      <c r="K425" s="2"/>
      <c r="L425" s="2"/>
    </row>
    <row r="426" ht="15.75" customHeight="1">
      <c r="A426" s="2"/>
      <c r="B426" s="2"/>
      <c r="C426" s="2"/>
      <c r="D426" s="2"/>
      <c r="E426" s="2"/>
      <c r="F426" s="2"/>
      <c r="G426" s="2"/>
      <c r="H426" s="2"/>
      <c r="I426" s="2"/>
      <c r="J426" s="2"/>
      <c r="K426" s="2"/>
      <c r="L426" s="2"/>
    </row>
    <row r="427" ht="15.75" customHeight="1">
      <c r="A427" s="2"/>
      <c r="B427" s="2"/>
      <c r="C427" s="2"/>
      <c r="D427" s="2"/>
      <c r="E427" s="2"/>
      <c r="F427" s="2"/>
      <c r="G427" s="2"/>
      <c r="H427" s="2"/>
      <c r="I427" s="2"/>
      <c r="J427" s="2"/>
      <c r="K427" s="2"/>
      <c r="L427" s="2"/>
    </row>
    <row r="428" ht="15.75" customHeight="1">
      <c r="A428" s="2"/>
      <c r="B428" s="2"/>
      <c r="C428" s="2"/>
      <c r="D428" s="2"/>
      <c r="E428" s="2"/>
      <c r="F428" s="2"/>
      <c r="G428" s="2"/>
      <c r="H428" s="2"/>
      <c r="I428" s="2"/>
      <c r="J428" s="2"/>
      <c r="K428" s="2"/>
      <c r="L428" s="2"/>
    </row>
    <row r="429" ht="15.75" customHeight="1">
      <c r="A429" s="2"/>
      <c r="B429" s="2"/>
      <c r="C429" s="2"/>
      <c r="D429" s="2"/>
      <c r="E429" s="2"/>
      <c r="F429" s="2"/>
      <c r="G429" s="2"/>
      <c r="H429" s="2"/>
      <c r="I429" s="2"/>
      <c r="J429" s="2"/>
      <c r="K429" s="2"/>
      <c r="L429" s="2"/>
    </row>
    <row r="430" ht="15.75" customHeight="1">
      <c r="A430" s="2"/>
      <c r="B430" s="2"/>
      <c r="C430" s="2"/>
      <c r="D430" s="2"/>
      <c r="E430" s="2"/>
      <c r="F430" s="2"/>
      <c r="G430" s="2"/>
      <c r="H430" s="2"/>
      <c r="I430" s="2"/>
      <c r="J430" s="2"/>
      <c r="K430" s="2"/>
      <c r="L430" s="2"/>
    </row>
    <row r="431" ht="15.75" customHeight="1">
      <c r="A431" s="2"/>
      <c r="B431" s="2"/>
      <c r="C431" s="2"/>
      <c r="D431" s="2"/>
      <c r="E431" s="2"/>
      <c r="F431" s="2"/>
      <c r="G431" s="2"/>
      <c r="H431" s="2"/>
      <c r="I431" s="2"/>
      <c r="J431" s="2"/>
      <c r="K431" s="2"/>
      <c r="L431" s="2"/>
    </row>
    <row r="432" ht="15.75" customHeight="1">
      <c r="A432" s="2"/>
      <c r="B432" s="2"/>
      <c r="C432" s="2"/>
      <c r="D432" s="2"/>
      <c r="E432" s="2"/>
      <c r="F432" s="2"/>
      <c r="G432" s="2"/>
      <c r="H432" s="2"/>
      <c r="I432" s="2"/>
      <c r="J432" s="2"/>
      <c r="K432" s="2"/>
      <c r="L432" s="2"/>
    </row>
    <row r="433" ht="15.75" customHeight="1">
      <c r="A433" s="2"/>
      <c r="B433" s="2"/>
      <c r="C433" s="2"/>
      <c r="D433" s="2"/>
      <c r="E433" s="2"/>
      <c r="F433" s="2"/>
      <c r="G433" s="2"/>
      <c r="H433" s="2"/>
      <c r="I433" s="2"/>
      <c r="J433" s="2"/>
      <c r="K433" s="2"/>
      <c r="L433" s="2"/>
    </row>
    <row r="434" ht="15.75" customHeight="1">
      <c r="A434" s="2"/>
      <c r="B434" s="2"/>
      <c r="C434" s="2"/>
      <c r="D434" s="2"/>
      <c r="E434" s="2"/>
      <c r="F434" s="2"/>
      <c r="G434" s="2"/>
      <c r="H434" s="2"/>
      <c r="I434" s="2"/>
      <c r="J434" s="2"/>
      <c r="K434" s="2"/>
      <c r="L434" s="2"/>
    </row>
    <row r="435" ht="15.75" customHeight="1">
      <c r="A435" s="2"/>
      <c r="B435" s="2"/>
      <c r="C435" s="2"/>
      <c r="D435" s="2"/>
      <c r="E435" s="2"/>
      <c r="F435" s="2"/>
      <c r="G435" s="2"/>
      <c r="H435" s="2"/>
      <c r="I435" s="2"/>
      <c r="J435" s="2"/>
      <c r="K435" s="2"/>
      <c r="L435" s="2"/>
    </row>
    <row r="436" ht="15.75" customHeight="1">
      <c r="A436" s="2"/>
      <c r="B436" s="2"/>
      <c r="C436" s="2"/>
      <c r="D436" s="2"/>
      <c r="E436" s="2"/>
      <c r="F436" s="2"/>
      <c r="G436" s="2"/>
      <c r="H436" s="2"/>
      <c r="I436" s="2"/>
      <c r="J436" s="2"/>
      <c r="K436" s="2"/>
      <c r="L436" s="2"/>
    </row>
    <row r="437" ht="15.75" customHeight="1">
      <c r="A437" s="2"/>
      <c r="B437" s="2"/>
      <c r="C437" s="2"/>
      <c r="D437" s="2"/>
      <c r="E437" s="2"/>
      <c r="F437" s="2"/>
      <c r="G437" s="2"/>
      <c r="H437" s="2"/>
      <c r="I437" s="2"/>
      <c r="J437" s="2"/>
      <c r="K437" s="2"/>
      <c r="L437" s="2"/>
    </row>
    <row r="438" ht="15.75" customHeight="1">
      <c r="A438" s="2"/>
      <c r="B438" s="2"/>
      <c r="C438" s="2"/>
      <c r="D438" s="2"/>
      <c r="E438" s="2"/>
      <c r="F438" s="2"/>
      <c r="G438" s="2"/>
      <c r="H438" s="2"/>
      <c r="I438" s="2"/>
      <c r="J438" s="2"/>
      <c r="K438" s="2"/>
      <c r="L438" s="2"/>
    </row>
    <row r="439" ht="15.75" customHeight="1">
      <c r="A439" s="2"/>
      <c r="B439" s="2"/>
      <c r="C439" s="2"/>
      <c r="D439" s="2"/>
      <c r="E439" s="2"/>
      <c r="F439" s="2"/>
      <c r="G439" s="2"/>
      <c r="H439" s="2"/>
      <c r="I439" s="2"/>
      <c r="J439" s="2"/>
      <c r="K439" s="2"/>
      <c r="L439" s="2"/>
    </row>
    <row r="440" ht="15.75" customHeight="1">
      <c r="A440" s="2"/>
      <c r="B440" s="2"/>
      <c r="C440" s="2"/>
      <c r="D440" s="2"/>
      <c r="E440" s="2"/>
      <c r="F440" s="2"/>
      <c r="G440" s="2"/>
      <c r="H440" s="2"/>
      <c r="I440" s="2"/>
      <c r="J440" s="2"/>
      <c r="K440" s="2"/>
      <c r="L440" s="2"/>
    </row>
    <row r="441" ht="15.75" customHeight="1">
      <c r="A441" s="2"/>
      <c r="B441" s="2"/>
      <c r="C441" s="2"/>
      <c r="D441" s="2"/>
      <c r="E441" s="2"/>
      <c r="F441" s="2"/>
      <c r="G441" s="2"/>
      <c r="H441" s="2"/>
      <c r="I441" s="2"/>
      <c r="J441" s="2"/>
      <c r="K441" s="2"/>
      <c r="L441" s="2"/>
    </row>
    <row r="442" ht="15.75" customHeight="1">
      <c r="A442" s="2"/>
      <c r="B442" s="2"/>
      <c r="C442" s="2"/>
      <c r="D442" s="2"/>
      <c r="E442" s="2"/>
      <c r="F442" s="2"/>
      <c r="G442" s="2"/>
      <c r="H442" s="2"/>
      <c r="I442" s="2"/>
      <c r="J442" s="2"/>
      <c r="K442" s="2"/>
      <c r="L442" s="2"/>
    </row>
    <row r="443" ht="15.75" customHeight="1">
      <c r="A443" s="2"/>
      <c r="B443" s="2"/>
      <c r="C443" s="2"/>
      <c r="D443" s="2"/>
      <c r="E443" s="2"/>
      <c r="F443" s="2"/>
      <c r="G443" s="2"/>
      <c r="H443" s="2"/>
      <c r="I443" s="2"/>
      <c r="J443" s="2"/>
      <c r="K443" s="2"/>
      <c r="L443" s="2"/>
    </row>
    <row r="444" ht="15.75" customHeight="1">
      <c r="A444" s="2"/>
      <c r="B444" s="2"/>
      <c r="C444" s="2"/>
      <c r="D444" s="2"/>
      <c r="E444" s="2"/>
      <c r="F444" s="2"/>
      <c r="G444" s="2"/>
      <c r="H444" s="2"/>
      <c r="I444" s="2"/>
      <c r="J444" s="2"/>
      <c r="K444" s="2"/>
      <c r="L444" s="2"/>
    </row>
    <row r="445" ht="15.75" customHeight="1">
      <c r="A445" s="2"/>
      <c r="B445" s="2"/>
      <c r="C445" s="2"/>
      <c r="D445" s="2"/>
      <c r="E445" s="2"/>
      <c r="F445" s="2"/>
      <c r="G445" s="2"/>
      <c r="H445" s="2"/>
      <c r="I445" s="2"/>
      <c r="J445" s="2"/>
      <c r="K445" s="2"/>
      <c r="L445" s="2"/>
    </row>
    <row r="446" ht="15.75" customHeight="1">
      <c r="A446" s="2"/>
      <c r="B446" s="2"/>
      <c r="C446" s="2"/>
      <c r="D446" s="2"/>
      <c r="E446" s="2"/>
      <c r="F446" s="2"/>
      <c r="G446" s="2"/>
      <c r="H446" s="2"/>
      <c r="I446" s="2"/>
      <c r="J446" s="2"/>
      <c r="K446" s="2"/>
      <c r="L446" s="2"/>
    </row>
    <row r="447" ht="15.75" customHeight="1">
      <c r="A447" s="2"/>
      <c r="B447" s="2"/>
      <c r="C447" s="2"/>
      <c r="D447" s="2"/>
      <c r="E447" s="2"/>
      <c r="F447" s="2"/>
      <c r="G447" s="2"/>
      <c r="H447" s="2"/>
      <c r="I447" s="2"/>
      <c r="J447" s="2"/>
      <c r="K447" s="2"/>
      <c r="L447" s="2"/>
    </row>
    <row r="448" ht="15.75" customHeight="1">
      <c r="A448" s="2"/>
      <c r="B448" s="2"/>
      <c r="C448" s="2"/>
      <c r="D448" s="2"/>
      <c r="E448" s="2"/>
      <c r="F448" s="2"/>
      <c r="G448" s="2"/>
      <c r="H448" s="2"/>
      <c r="I448" s="2"/>
      <c r="J448" s="2"/>
      <c r="K448" s="2"/>
      <c r="L448" s="2"/>
    </row>
    <row r="449" ht="15.75" customHeight="1">
      <c r="A449" s="2"/>
      <c r="B449" s="2"/>
      <c r="C449" s="2"/>
      <c r="D449" s="2"/>
      <c r="E449" s="2"/>
      <c r="F449" s="2"/>
      <c r="G449" s="2"/>
      <c r="H449" s="2"/>
      <c r="I449" s="2"/>
      <c r="J449" s="2"/>
      <c r="K449" s="2"/>
      <c r="L449" s="2"/>
    </row>
    <row r="450" ht="15.75" customHeight="1">
      <c r="A450" s="2"/>
      <c r="B450" s="2"/>
      <c r="C450" s="2"/>
      <c r="D450" s="2"/>
      <c r="E450" s="2"/>
      <c r="F450" s="2"/>
      <c r="G450" s="2"/>
      <c r="H450" s="2"/>
      <c r="I450" s="2"/>
      <c r="J450" s="2"/>
      <c r="K450" s="2"/>
      <c r="L450" s="2"/>
    </row>
    <row r="451" ht="15.75" customHeight="1">
      <c r="A451" s="2"/>
      <c r="B451" s="2"/>
      <c r="C451" s="2"/>
      <c r="D451" s="2"/>
      <c r="E451" s="2"/>
      <c r="F451" s="2"/>
      <c r="G451" s="2"/>
      <c r="H451" s="2"/>
      <c r="I451" s="2"/>
      <c r="J451" s="2"/>
      <c r="K451" s="2"/>
      <c r="L451" s="2"/>
    </row>
    <row r="452" ht="15.75" customHeight="1">
      <c r="A452" s="2"/>
      <c r="B452" s="2"/>
      <c r="C452" s="2"/>
      <c r="D452" s="2"/>
      <c r="E452" s="2"/>
      <c r="F452" s="2"/>
      <c r="G452" s="2"/>
      <c r="H452" s="2"/>
      <c r="I452" s="2"/>
      <c r="J452" s="2"/>
      <c r="K452" s="2"/>
      <c r="L452" s="2"/>
    </row>
    <row r="453" ht="15.75" customHeight="1">
      <c r="A453" s="2"/>
      <c r="B453" s="2"/>
      <c r="C453" s="2"/>
      <c r="D453" s="2"/>
      <c r="E453" s="2"/>
      <c r="F453" s="2"/>
      <c r="G453" s="2"/>
      <c r="H453" s="2"/>
      <c r="I453" s="2"/>
      <c r="J453" s="2"/>
      <c r="K453" s="2"/>
      <c r="L453" s="2"/>
    </row>
    <row r="454" ht="15.75" customHeight="1">
      <c r="A454" s="2"/>
      <c r="B454" s="2"/>
      <c r="C454" s="2"/>
      <c r="D454" s="2"/>
      <c r="E454" s="2"/>
      <c r="F454" s="2"/>
      <c r="G454" s="2"/>
      <c r="H454" s="2"/>
      <c r="I454" s="2"/>
      <c r="J454" s="2"/>
      <c r="K454" s="2"/>
      <c r="L454" s="2"/>
    </row>
    <row r="455" ht="15.75" customHeight="1">
      <c r="A455" s="2"/>
      <c r="B455" s="2"/>
      <c r="C455" s="2"/>
      <c r="D455" s="2"/>
      <c r="E455" s="2"/>
      <c r="F455" s="2"/>
      <c r="G455" s="2"/>
      <c r="H455" s="2"/>
      <c r="I455" s="2"/>
      <c r="J455" s="2"/>
      <c r="K455" s="2"/>
      <c r="L455" s="2"/>
    </row>
    <row r="456" ht="15.75" customHeight="1">
      <c r="A456" s="2"/>
      <c r="B456" s="2"/>
      <c r="C456" s="2"/>
      <c r="D456" s="2"/>
      <c r="E456" s="2"/>
      <c r="F456" s="2"/>
      <c r="G456" s="2"/>
      <c r="H456" s="2"/>
      <c r="I456" s="2"/>
      <c r="J456" s="2"/>
      <c r="K456" s="2"/>
      <c r="L456" s="2"/>
    </row>
    <row r="457" ht="15.75" customHeight="1">
      <c r="A457" s="2"/>
      <c r="B457" s="2"/>
      <c r="C457" s="2"/>
      <c r="D457" s="2"/>
      <c r="E457" s="2"/>
      <c r="F457" s="2"/>
      <c r="G457" s="2"/>
      <c r="H457" s="2"/>
      <c r="I457" s="2"/>
      <c r="J457" s="2"/>
      <c r="K457" s="2"/>
      <c r="L457" s="2"/>
    </row>
    <row r="458" ht="15.75" customHeight="1">
      <c r="A458" s="2"/>
      <c r="B458" s="2"/>
      <c r="C458" s="2"/>
      <c r="D458" s="2"/>
      <c r="E458" s="2"/>
      <c r="F458" s="2"/>
      <c r="G458" s="2"/>
      <c r="H458" s="2"/>
      <c r="I458" s="2"/>
      <c r="J458" s="2"/>
      <c r="K458" s="2"/>
      <c r="L458" s="2"/>
    </row>
    <row r="459" ht="15.75" customHeight="1">
      <c r="A459" s="2"/>
      <c r="B459" s="2"/>
      <c r="C459" s="2"/>
      <c r="D459" s="2"/>
      <c r="E459" s="2"/>
      <c r="F459" s="2"/>
      <c r="G459" s="2"/>
      <c r="H459" s="2"/>
      <c r="I459" s="2"/>
      <c r="J459" s="2"/>
      <c r="K459" s="2"/>
      <c r="L459" s="2"/>
    </row>
    <row r="460" ht="15.75" customHeight="1">
      <c r="A460" s="2"/>
      <c r="B460" s="2"/>
      <c r="C460" s="2"/>
      <c r="D460" s="2"/>
      <c r="E460" s="2"/>
      <c r="F460" s="2"/>
      <c r="G460" s="2"/>
      <c r="H460" s="2"/>
      <c r="I460" s="2"/>
      <c r="J460" s="2"/>
      <c r="K460" s="2"/>
      <c r="L460" s="2"/>
    </row>
    <row r="461" ht="15.75" customHeight="1">
      <c r="A461" s="2"/>
      <c r="B461" s="2"/>
      <c r="C461" s="2"/>
      <c r="D461" s="2"/>
      <c r="E461" s="2"/>
      <c r="F461" s="2"/>
      <c r="G461" s="2"/>
      <c r="H461" s="2"/>
      <c r="I461" s="2"/>
      <c r="J461" s="2"/>
      <c r="K461" s="2"/>
      <c r="L461" s="2"/>
    </row>
    <row r="462" ht="15.75" customHeight="1">
      <c r="A462" s="2"/>
      <c r="B462" s="2"/>
      <c r="C462" s="2"/>
      <c r="D462" s="2"/>
      <c r="E462" s="2"/>
      <c r="F462" s="2"/>
      <c r="G462" s="2"/>
      <c r="H462" s="2"/>
      <c r="I462" s="2"/>
      <c r="J462" s="2"/>
      <c r="K462" s="2"/>
      <c r="L462" s="2"/>
    </row>
    <row r="463" ht="15.75" customHeight="1">
      <c r="A463" s="2"/>
      <c r="B463" s="2"/>
      <c r="C463" s="2"/>
      <c r="D463" s="2"/>
      <c r="E463" s="2"/>
      <c r="F463" s="2"/>
      <c r="G463" s="2"/>
      <c r="H463" s="2"/>
      <c r="I463" s="2"/>
      <c r="J463" s="2"/>
      <c r="K463" s="2"/>
      <c r="L463" s="2"/>
    </row>
    <row r="464" ht="15.75" customHeight="1">
      <c r="A464" s="2"/>
      <c r="B464" s="2"/>
      <c r="C464" s="2"/>
      <c r="D464" s="2"/>
      <c r="E464" s="2"/>
      <c r="F464" s="2"/>
      <c r="G464" s="2"/>
      <c r="H464" s="2"/>
      <c r="I464" s="2"/>
      <c r="J464" s="2"/>
      <c r="K464" s="2"/>
      <c r="L464" s="2"/>
    </row>
    <row r="465" ht="15.75" customHeight="1">
      <c r="A465" s="2"/>
      <c r="B465" s="2"/>
      <c r="C465" s="2"/>
      <c r="D465" s="2"/>
      <c r="E465" s="2"/>
      <c r="F465" s="2"/>
      <c r="G465" s="2"/>
      <c r="H465" s="2"/>
      <c r="I465" s="2"/>
      <c r="J465" s="2"/>
      <c r="K465" s="2"/>
      <c r="L465" s="2"/>
    </row>
    <row r="466" ht="15.75" customHeight="1">
      <c r="A466" s="2"/>
      <c r="B466" s="2"/>
      <c r="C466" s="2"/>
      <c r="D466" s="2"/>
      <c r="E466" s="2"/>
      <c r="F466" s="2"/>
      <c r="G466" s="2"/>
      <c r="H466" s="2"/>
      <c r="I466" s="2"/>
      <c r="J466" s="2"/>
      <c r="K466" s="2"/>
      <c r="L466" s="2"/>
    </row>
    <row r="467" ht="15.75" customHeight="1">
      <c r="A467" s="2"/>
      <c r="B467" s="2"/>
      <c r="C467" s="2"/>
      <c r="D467" s="2"/>
      <c r="E467" s="2"/>
      <c r="F467" s="2"/>
      <c r="G467" s="2"/>
      <c r="H467" s="2"/>
      <c r="I467" s="2"/>
      <c r="J467" s="2"/>
      <c r="K467" s="2"/>
      <c r="L467" s="2"/>
    </row>
    <row r="468" ht="15.75" customHeight="1">
      <c r="A468" s="2"/>
      <c r="B468" s="2"/>
      <c r="C468" s="2"/>
      <c r="D468" s="2"/>
      <c r="E468" s="2"/>
      <c r="F468" s="2"/>
      <c r="G468" s="2"/>
      <c r="H468" s="2"/>
      <c r="I468" s="2"/>
      <c r="J468" s="2"/>
      <c r="K468" s="2"/>
      <c r="L468" s="2"/>
    </row>
    <row r="469" ht="15.75" customHeight="1">
      <c r="A469" s="2"/>
      <c r="B469" s="2"/>
      <c r="C469" s="2"/>
      <c r="D469" s="2"/>
      <c r="E469" s="2"/>
      <c r="F469" s="2"/>
      <c r="G469" s="2"/>
      <c r="H469" s="2"/>
      <c r="I469" s="2"/>
      <c r="J469" s="2"/>
      <c r="K469" s="2"/>
      <c r="L469" s="2"/>
    </row>
    <row r="470" ht="15.75" customHeight="1">
      <c r="A470" s="2"/>
      <c r="B470" s="2"/>
      <c r="C470" s="2"/>
      <c r="D470" s="2"/>
      <c r="E470" s="2"/>
      <c r="F470" s="2"/>
      <c r="G470" s="2"/>
      <c r="H470" s="2"/>
      <c r="I470" s="2"/>
      <c r="J470" s="2"/>
      <c r="K470" s="2"/>
      <c r="L470" s="2"/>
    </row>
    <row r="471" ht="15.75" customHeight="1">
      <c r="A471" s="2"/>
      <c r="B471" s="2"/>
      <c r="C471" s="2"/>
      <c r="D471" s="2"/>
      <c r="E471" s="2"/>
      <c r="F471" s="2"/>
      <c r="G471" s="2"/>
      <c r="H471" s="2"/>
      <c r="I471" s="2"/>
      <c r="J471" s="2"/>
      <c r="K471" s="2"/>
      <c r="L471" s="2"/>
    </row>
    <row r="472" ht="15.75" customHeight="1">
      <c r="A472" s="2"/>
      <c r="B472" s="2"/>
      <c r="C472" s="2"/>
      <c r="D472" s="2"/>
      <c r="E472" s="2"/>
      <c r="F472" s="2"/>
      <c r="G472" s="2"/>
      <c r="H472" s="2"/>
      <c r="I472" s="2"/>
      <c r="J472" s="2"/>
      <c r="K472" s="2"/>
      <c r="L472" s="2"/>
    </row>
    <row r="473" ht="15.75" customHeight="1">
      <c r="A473" s="2"/>
      <c r="B473" s="2"/>
      <c r="C473" s="2"/>
      <c r="D473" s="2"/>
      <c r="E473" s="2"/>
      <c r="F473" s="2"/>
      <c r="G473" s="2"/>
      <c r="H473" s="2"/>
      <c r="I473" s="2"/>
      <c r="J473" s="2"/>
      <c r="K473" s="2"/>
      <c r="L473" s="2"/>
    </row>
    <row r="474" ht="15.75" customHeight="1">
      <c r="A474" s="2"/>
      <c r="B474" s="2"/>
      <c r="C474" s="2"/>
      <c r="D474" s="2"/>
      <c r="E474" s="2"/>
      <c r="F474" s="2"/>
      <c r="G474" s="2"/>
      <c r="H474" s="2"/>
      <c r="I474" s="2"/>
      <c r="J474" s="2"/>
      <c r="K474" s="2"/>
      <c r="L474" s="2"/>
    </row>
    <row r="475" ht="15.75" customHeight="1">
      <c r="A475" s="2"/>
      <c r="B475" s="2"/>
      <c r="C475" s="2"/>
      <c r="D475" s="2"/>
      <c r="E475" s="2"/>
      <c r="F475" s="2"/>
      <c r="G475" s="2"/>
      <c r="H475" s="2"/>
      <c r="I475" s="2"/>
      <c r="J475" s="2"/>
      <c r="K475" s="2"/>
      <c r="L475" s="2"/>
    </row>
    <row r="476" ht="15.75" customHeight="1">
      <c r="A476" s="2"/>
      <c r="B476" s="2"/>
      <c r="C476" s="2"/>
      <c r="D476" s="2"/>
      <c r="E476" s="2"/>
      <c r="F476" s="2"/>
      <c r="G476" s="2"/>
      <c r="H476" s="2"/>
      <c r="I476" s="2"/>
      <c r="J476" s="2"/>
      <c r="K476" s="2"/>
      <c r="L476" s="2"/>
    </row>
    <row r="477" ht="15.75" customHeight="1">
      <c r="A477" s="2"/>
      <c r="B477" s="2"/>
      <c r="C477" s="2"/>
      <c r="D477" s="2"/>
      <c r="E477" s="2"/>
      <c r="F477" s="2"/>
      <c r="G477" s="2"/>
      <c r="H477" s="2"/>
      <c r="I477" s="2"/>
      <c r="J477" s="2"/>
      <c r="K477" s="2"/>
      <c r="L477" s="2"/>
    </row>
    <row r="478" ht="15.75" customHeight="1">
      <c r="A478" s="2"/>
      <c r="B478" s="2"/>
      <c r="C478" s="2"/>
      <c r="D478" s="2"/>
      <c r="E478" s="2"/>
      <c r="F478" s="2"/>
      <c r="G478" s="2"/>
      <c r="H478" s="2"/>
      <c r="I478" s="2"/>
      <c r="J478" s="2"/>
      <c r="K478" s="2"/>
      <c r="L478" s="2"/>
    </row>
    <row r="479" ht="15.75" customHeight="1">
      <c r="A479" s="2"/>
      <c r="B479" s="2"/>
      <c r="C479" s="2"/>
      <c r="D479" s="2"/>
      <c r="E479" s="2"/>
      <c r="F479" s="2"/>
      <c r="G479" s="2"/>
      <c r="H479" s="2"/>
      <c r="I479" s="2"/>
      <c r="J479" s="2"/>
      <c r="K479" s="2"/>
      <c r="L479" s="2"/>
    </row>
    <row r="480" ht="15.75" customHeight="1">
      <c r="A480" s="2"/>
      <c r="B480" s="2"/>
      <c r="C480" s="2"/>
      <c r="D480" s="2"/>
      <c r="E480" s="2"/>
      <c r="F480" s="2"/>
      <c r="G480" s="2"/>
      <c r="H480" s="2"/>
      <c r="I480" s="2"/>
      <c r="J480" s="2"/>
      <c r="K480" s="2"/>
      <c r="L480" s="2"/>
    </row>
    <row r="481" ht="15.75" customHeight="1">
      <c r="A481" s="2"/>
      <c r="B481" s="2"/>
      <c r="C481" s="2"/>
      <c r="D481" s="2"/>
      <c r="E481" s="2"/>
      <c r="F481" s="2"/>
      <c r="G481" s="2"/>
      <c r="H481" s="2"/>
      <c r="I481" s="2"/>
      <c r="J481" s="2"/>
      <c r="K481" s="2"/>
      <c r="L481" s="2"/>
    </row>
    <row r="482" ht="15.75" customHeight="1">
      <c r="A482" s="2"/>
      <c r="B482" s="2"/>
      <c r="C482" s="2"/>
      <c r="D482" s="2"/>
      <c r="E482" s="2"/>
      <c r="F482" s="2"/>
      <c r="G482" s="2"/>
      <c r="H482" s="2"/>
      <c r="I482" s="2"/>
      <c r="J482" s="2"/>
      <c r="K482" s="2"/>
      <c r="L482" s="2"/>
    </row>
    <row r="483" ht="15.75" customHeight="1">
      <c r="A483" s="2"/>
      <c r="B483" s="2"/>
      <c r="C483" s="2"/>
      <c r="D483" s="2"/>
      <c r="E483" s="2"/>
      <c r="F483" s="2"/>
      <c r="G483" s="2"/>
      <c r="H483" s="2"/>
      <c r="I483" s="2"/>
      <c r="J483" s="2"/>
      <c r="K483" s="2"/>
      <c r="L483" s="2"/>
    </row>
    <row r="484" ht="15.75" customHeight="1">
      <c r="A484" s="2"/>
      <c r="B484" s="2"/>
      <c r="C484" s="2"/>
      <c r="D484" s="2"/>
      <c r="E484" s="2"/>
      <c r="F484" s="2"/>
      <c r="G484" s="2"/>
      <c r="H484" s="2"/>
      <c r="I484" s="2"/>
      <c r="J484" s="2"/>
      <c r="K484" s="2"/>
      <c r="L484" s="2"/>
    </row>
    <row r="485" ht="15.75" customHeight="1">
      <c r="A485" s="2"/>
      <c r="B485" s="2"/>
      <c r="C485" s="2"/>
      <c r="D485" s="2"/>
      <c r="E485" s="2"/>
      <c r="F485" s="2"/>
      <c r="G485" s="2"/>
      <c r="H485" s="2"/>
      <c r="I485" s="2"/>
      <c r="J485" s="2"/>
      <c r="K485" s="2"/>
      <c r="L485" s="2"/>
    </row>
    <row r="486" ht="15.75" customHeight="1">
      <c r="A486" s="2"/>
      <c r="B486" s="2"/>
      <c r="C486" s="2"/>
      <c r="D486" s="2"/>
      <c r="E486" s="2"/>
      <c r="F486" s="2"/>
      <c r="G486" s="2"/>
      <c r="H486" s="2"/>
      <c r="I486" s="2"/>
      <c r="J486" s="2"/>
      <c r="K486" s="2"/>
      <c r="L486" s="2"/>
    </row>
    <row r="487" ht="15.75" customHeight="1">
      <c r="A487" s="2"/>
      <c r="B487" s="2"/>
      <c r="C487" s="2"/>
      <c r="D487" s="2"/>
      <c r="E487" s="2"/>
      <c r="F487" s="2"/>
      <c r="G487" s="2"/>
      <c r="H487" s="2"/>
      <c r="I487" s="2"/>
      <c r="J487" s="2"/>
      <c r="K487" s="2"/>
      <c r="L487" s="2"/>
    </row>
    <row r="488" ht="15.75" customHeight="1">
      <c r="A488" s="2"/>
      <c r="B488" s="2"/>
      <c r="C488" s="2"/>
      <c r="D488" s="2"/>
      <c r="E488" s="2"/>
      <c r="F488" s="2"/>
      <c r="G488" s="2"/>
      <c r="H488" s="2"/>
      <c r="I488" s="2"/>
      <c r="J488" s="2"/>
      <c r="K488" s="2"/>
      <c r="L488" s="2"/>
    </row>
    <row r="489" ht="15.75" customHeight="1">
      <c r="A489" s="2"/>
      <c r="B489" s="2"/>
      <c r="C489" s="2"/>
      <c r="D489" s="2"/>
      <c r="E489" s="2"/>
      <c r="F489" s="2"/>
      <c r="G489" s="2"/>
      <c r="H489" s="2"/>
      <c r="I489" s="2"/>
      <c r="J489" s="2"/>
      <c r="K489" s="2"/>
      <c r="L489" s="2"/>
    </row>
    <row r="490" ht="15.75" customHeight="1">
      <c r="A490" s="2"/>
      <c r="B490" s="2"/>
      <c r="C490" s="2"/>
      <c r="D490" s="2"/>
      <c r="E490" s="2"/>
      <c r="F490" s="2"/>
      <c r="G490" s="2"/>
      <c r="H490" s="2"/>
      <c r="I490" s="2"/>
      <c r="J490" s="2"/>
      <c r="K490" s="2"/>
      <c r="L490" s="2"/>
    </row>
    <row r="491" ht="15.75" customHeight="1">
      <c r="A491" s="2"/>
      <c r="B491" s="2"/>
      <c r="C491" s="2"/>
      <c r="D491" s="2"/>
      <c r="E491" s="2"/>
      <c r="F491" s="2"/>
      <c r="G491" s="2"/>
      <c r="H491" s="2"/>
      <c r="I491" s="2"/>
      <c r="J491" s="2"/>
      <c r="K491" s="2"/>
      <c r="L491" s="2"/>
    </row>
    <row r="492" ht="15.75" customHeight="1">
      <c r="A492" s="2"/>
      <c r="B492" s="2"/>
      <c r="C492" s="2"/>
      <c r="D492" s="2"/>
      <c r="E492" s="2"/>
      <c r="F492" s="2"/>
      <c r="G492" s="2"/>
      <c r="H492" s="2"/>
      <c r="I492" s="2"/>
      <c r="J492" s="2"/>
      <c r="K492" s="2"/>
      <c r="L492" s="2"/>
    </row>
    <row r="493" ht="15.75" customHeight="1">
      <c r="A493" s="2"/>
      <c r="B493" s="2"/>
      <c r="C493" s="2"/>
      <c r="D493" s="2"/>
      <c r="E493" s="2"/>
      <c r="F493" s="2"/>
      <c r="G493" s="2"/>
      <c r="H493" s="2"/>
      <c r="I493" s="2"/>
      <c r="J493" s="2"/>
      <c r="K493" s="2"/>
      <c r="L493" s="2"/>
    </row>
    <row r="494" ht="15.75" customHeight="1">
      <c r="A494" s="2"/>
      <c r="B494" s="2"/>
      <c r="C494" s="2"/>
      <c r="D494" s="2"/>
      <c r="E494" s="2"/>
      <c r="F494" s="2"/>
      <c r="G494" s="2"/>
      <c r="H494" s="2"/>
      <c r="I494" s="2"/>
      <c r="J494" s="2"/>
      <c r="K494" s="2"/>
      <c r="L494" s="2"/>
    </row>
    <row r="495" ht="15.75" customHeight="1">
      <c r="A495" s="2"/>
      <c r="B495" s="2"/>
      <c r="C495" s="2"/>
      <c r="D495" s="2"/>
      <c r="E495" s="2"/>
      <c r="F495" s="2"/>
      <c r="G495" s="2"/>
      <c r="H495" s="2"/>
      <c r="I495" s="2"/>
      <c r="J495" s="2"/>
      <c r="K495" s="2"/>
      <c r="L495" s="2"/>
    </row>
    <row r="496" ht="15.75" customHeight="1">
      <c r="A496" s="2"/>
      <c r="B496" s="2"/>
      <c r="C496" s="2"/>
      <c r="D496" s="2"/>
      <c r="E496" s="2"/>
      <c r="F496" s="2"/>
      <c r="G496" s="2"/>
      <c r="H496" s="2"/>
      <c r="I496" s="2"/>
      <c r="J496" s="2"/>
      <c r="K496" s="2"/>
      <c r="L496" s="2"/>
    </row>
    <row r="497" ht="15.75" customHeight="1">
      <c r="A497" s="2"/>
      <c r="B497" s="2"/>
      <c r="C497" s="2"/>
      <c r="D497" s="2"/>
      <c r="E497" s="2"/>
      <c r="F497" s="2"/>
      <c r="G497" s="2"/>
      <c r="H497" s="2"/>
      <c r="I497" s="2"/>
      <c r="J497" s="2"/>
      <c r="K497" s="2"/>
      <c r="L497" s="2"/>
    </row>
    <row r="498" ht="15.75" customHeight="1">
      <c r="A498" s="2"/>
      <c r="B498" s="2"/>
      <c r="C498" s="2"/>
      <c r="D498" s="2"/>
      <c r="E498" s="2"/>
      <c r="F498" s="2"/>
      <c r="G498" s="2"/>
      <c r="H498" s="2"/>
      <c r="I498" s="2"/>
      <c r="J498" s="2"/>
      <c r="K498" s="2"/>
      <c r="L498" s="2"/>
    </row>
    <row r="499" ht="15.75" customHeight="1">
      <c r="A499" s="2"/>
      <c r="B499" s="2"/>
      <c r="C499" s="2"/>
      <c r="D499" s="2"/>
      <c r="E499" s="2"/>
      <c r="F499" s="2"/>
      <c r="G499" s="2"/>
      <c r="H499" s="2"/>
      <c r="I499" s="2"/>
      <c r="J499" s="2"/>
      <c r="K499" s="2"/>
      <c r="L499" s="2"/>
    </row>
    <row r="500" ht="15.75" customHeight="1">
      <c r="A500" s="2"/>
      <c r="B500" s="2"/>
      <c r="C500" s="2"/>
      <c r="D500" s="2"/>
      <c r="E500" s="2"/>
      <c r="F500" s="2"/>
      <c r="G500" s="2"/>
      <c r="H500" s="2"/>
      <c r="I500" s="2"/>
      <c r="J500" s="2"/>
      <c r="K500" s="2"/>
      <c r="L500" s="2"/>
    </row>
    <row r="501" ht="15.75" customHeight="1">
      <c r="A501" s="2"/>
      <c r="B501" s="2"/>
      <c r="C501" s="2"/>
      <c r="D501" s="2"/>
      <c r="E501" s="2"/>
      <c r="F501" s="2"/>
      <c r="G501" s="2"/>
      <c r="H501" s="2"/>
      <c r="I501" s="2"/>
      <c r="J501" s="2"/>
      <c r="K501" s="2"/>
      <c r="L501" s="2"/>
    </row>
    <row r="502" ht="15.75" customHeight="1">
      <c r="A502" s="2"/>
      <c r="B502" s="2"/>
      <c r="C502" s="2"/>
      <c r="D502" s="2"/>
      <c r="E502" s="2"/>
      <c r="F502" s="2"/>
      <c r="G502" s="2"/>
      <c r="H502" s="2"/>
      <c r="I502" s="2"/>
      <c r="J502" s="2"/>
      <c r="K502" s="2"/>
      <c r="L502" s="2"/>
    </row>
    <row r="503" ht="15.75" customHeight="1">
      <c r="A503" s="2"/>
      <c r="B503" s="2"/>
      <c r="C503" s="2"/>
      <c r="D503" s="2"/>
      <c r="E503" s="2"/>
      <c r="F503" s="2"/>
      <c r="G503" s="2"/>
      <c r="H503" s="2"/>
      <c r="I503" s="2"/>
      <c r="J503" s="2"/>
      <c r="K503" s="2"/>
      <c r="L503" s="2"/>
    </row>
    <row r="504" ht="15.75" customHeight="1">
      <c r="A504" s="2"/>
      <c r="B504" s="2"/>
      <c r="C504" s="2"/>
      <c r="D504" s="2"/>
      <c r="E504" s="2"/>
      <c r="F504" s="2"/>
      <c r="G504" s="2"/>
      <c r="H504" s="2"/>
      <c r="I504" s="2"/>
      <c r="J504" s="2"/>
      <c r="K504" s="2"/>
      <c r="L504" s="2"/>
    </row>
    <row r="505" ht="15.75" customHeight="1">
      <c r="A505" s="2"/>
      <c r="B505" s="2"/>
      <c r="C505" s="2"/>
      <c r="D505" s="2"/>
      <c r="E505" s="2"/>
      <c r="F505" s="2"/>
      <c r="G505" s="2"/>
      <c r="H505" s="2"/>
      <c r="I505" s="2"/>
      <c r="J505" s="2"/>
      <c r="K505" s="2"/>
      <c r="L505" s="2"/>
    </row>
    <row r="506" ht="15.75" customHeight="1">
      <c r="A506" s="2"/>
      <c r="B506" s="2"/>
      <c r="C506" s="2"/>
      <c r="D506" s="2"/>
      <c r="E506" s="2"/>
      <c r="F506" s="2"/>
      <c r="G506" s="2"/>
      <c r="H506" s="2"/>
      <c r="I506" s="2"/>
      <c r="J506" s="2"/>
      <c r="K506" s="2"/>
      <c r="L506" s="2"/>
    </row>
    <row r="507" ht="15.75" customHeight="1">
      <c r="A507" s="2"/>
      <c r="B507" s="2"/>
      <c r="C507" s="2"/>
      <c r="D507" s="2"/>
      <c r="E507" s="2"/>
      <c r="F507" s="2"/>
      <c r="G507" s="2"/>
      <c r="H507" s="2"/>
      <c r="I507" s="2"/>
      <c r="J507" s="2"/>
      <c r="K507" s="2"/>
      <c r="L507" s="2"/>
    </row>
    <row r="508" ht="15.75" customHeight="1">
      <c r="A508" s="2"/>
      <c r="B508" s="2"/>
      <c r="C508" s="2"/>
      <c r="D508" s="2"/>
      <c r="E508" s="2"/>
      <c r="F508" s="2"/>
      <c r="G508" s="2"/>
      <c r="H508" s="2"/>
      <c r="I508" s="2"/>
      <c r="J508" s="2"/>
      <c r="K508" s="2"/>
      <c r="L508" s="2"/>
    </row>
    <row r="509" ht="15.75" customHeight="1">
      <c r="A509" s="2"/>
      <c r="B509" s="2"/>
      <c r="C509" s="2"/>
      <c r="D509" s="2"/>
      <c r="E509" s="2"/>
      <c r="F509" s="2"/>
      <c r="G509" s="2"/>
      <c r="H509" s="2"/>
      <c r="I509" s="2"/>
      <c r="J509" s="2"/>
      <c r="K509" s="2"/>
      <c r="L509" s="2"/>
    </row>
    <row r="510" ht="15.75" customHeight="1">
      <c r="A510" s="2"/>
      <c r="B510" s="2"/>
      <c r="C510" s="2"/>
      <c r="D510" s="2"/>
      <c r="E510" s="2"/>
      <c r="F510" s="2"/>
      <c r="G510" s="2"/>
      <c r="H510" s="2"/>
      <c r="I510" s="2"/>
      <c r="J510" s="2"/>
      <c r="K510" s="2"/>
      <c r="L510" s="2"/>
    </row>
    <row r="511" ht="15.75" customHeight="1">
      <c r="A511" s="2"/>
      <c r="B511" s="2"/>
      <c r="C511" s="2"/>
      <c r="D511" s="2"/>
      <c r="E511" s="2"/>
      <c r="F511" s="2"/>
      <c r="G511" s="2"/>
      <c r="H511" s="2"/>
      <c r="I511" s="2"/>
      <c r="J511" s="2"/>
      <c r="K511" s="2"/>
      <c r="L511" s="2"/>
    </row>
    <row r="512" ht="15.75" customHeight="1">
      <c r="A512" s="2"/>
      <c r="B512" s="2"/>
      <c r="C512" s="2"/>
      <c r="D512" s="2"/>
      <c r="E512" s="2"/>
      <c r="F512" s="2"/>
      <c r="G512" s="2"/>
      <c r="H512" s="2"/>
      <c r="I512" s="2"/>
      <c r="J512" s="2"/>
      <c r="K512" s="2"/>
      <c r="L512" s="2"/>
    </row>
    <row r="513" ht="15.75" customHeight="1">
      <c r="A513" s="2"/>
      <c r="B513" s="2"/>
      <c r="C513" s="2"/>
      <c r="D513" s="2"/>
      <c r="E513" s="2"/>
      <c r="F513" s="2"/>
      <c r="G513" s="2"/>
      <c r="H513" s="2"/>
      <c r="I513" s="2"/>
      <c r="J513" s="2"/>
      <c r="K513" s="2"/>
      <c r="L513" s="2"/>
    </row>
    <row r="514" ht="15.75" customHeight="1">
      <c r="A514" s="2"/>
      <c r="B514" s="2"/>
      <c r="C514" s="2"/>
      <c r="D514" s="2"/>
      <c r="E514" s="2"/>
      <c r="F514" s="2"/>
      <c r="G514" s="2"/>
      <c r="H514" s="2"/>
      <c r="I514" s="2"/>
      <c r="J514" s="2"/>
      <c r="K514" s="2"/>
      <c r="L514" s="2"/>
    </row>
    <row r="515" ht="15.75" customHeight="1">
      <c r="A515" s="2"/>
      <c r="B515" s="2"/>
      <c r="C515" s="2"/>
      <c r="D515" s="2"/>
      <c r="E515" s="2"/>
      <c r="F515" s="2"/>
      <c r="G515" s="2"/>
      <c r="H515" s="2"/>
      <c r="I515" s="2"/>
      <c r="J515" s="2"/>
      <c r="K515" s="2"/>
      <c r="L515" s="2"/>
    </row>
    <row r="516" ht="15.75" customHeight="1">
      <c r="A516" s="2"/>
      <c r="B516" s="2"/>
      <c r="C516" s="2"/>
      <c r="D516" s="2"/>
      <c r="E516" s="2"/>
      <c r="F516" s="2"/>
      <c r="G516" s="2"/>
      <c r="H516" s="2"/>
      <c r="I516" s="2"/>
      <c r="J516" s="2"/>
      <c r="K516" s="2"/>
      <c r="L516" s="2"/>
    </row>
    <row r="517" ht="15.75" customHeight="1">
      <c r="A517" s="2"/>
      <c r="B517" s="2"/>
      <c r="C517" s="2"/>
      <c r="D517" s="2"/>
      <c r="E517" s="2"/>
      <c r="F517" s="2"/>
      <c r="G517" s="2"/>
      <c r="H517" s="2"/>
      <c r="I517" s="2"/>
      <c r="J517" s="2"/>
      <c r="K517" s="2"/>
      <c r="L517" s="2"/>
    </row>
    <row r="518" ht="15.75" customHeight="1">
      <c r="A518" s="2"/>
      <c r="B518" s="2"/>
      <c r="C518" s="2"/>
      <c r="D518" s="2"/>
      <c r="E518" s="2"/>
      <c r="F518" s="2"/>
      <c r="G518" s="2"/>
      <c r="H518" s="2"/>
      <c r="I518" s="2"/>
      <c r="J518" s="2"/>
      <c r="K518" s="2"/>
      <c r="L518" s="2"/>
    </row>
    <row r="519" ht="15.75" customHeight="1">
      <c r="A519" s="2"/>
      <c r="B519" s="2"/>
      <c r="C519" s="2"/>
      <c r="D519" s="2"/>
      <c r="E519" s="2"/>
      <c r="F519" s="2"/>
      <c r="G519" s="2"/>
      <c r="H519" s="2"/>
      <c r="I519" s="2"/>
      <c r="J519" s="2"/>
      <c r="K519" s="2"/>
      <c r="L519" s="2"/>
    </row>
    <row r="520" ht="15.75" customHeight="1">
      <c r="A520" s="2"/>
      <c r="B520" s="2"/>
      <c r="C520" s="2"/>
      <c r="D520" s="2"/>
      <c r="E520" s="2"/>
      <c r="F520" s="2"/>
      <c r="G520" s="2"/>
      <c r="H520" s="2"/>
      <c r="I520" s="2"/>
      <c r="J520" s="2"/>
      <c r="K520" s="2"/>
      <c r="L520" s="2"/>
    </row>
    <row r="521" ht="15.75" customHeight="1">
      <c r="A521" s="2"/>
      <c r="B521" s="2"/>
      <c r="C521" s="2"/>
      <c r="D521" s="2"/>
      <c r="E521" s="2"/>
      <c r="F521" s="2"/>
      <c r="G521" s="2"/>
      <c r="H521" s="2"/>
      <c r="I521" s="2"/>
      <c r="J521" s="2"/>
      <c r="K521" s="2"/>
      <c r="L521" s="2"/>
    </row>
    <row r="522" ht="15.75" customHeight="1">
      <c r="A522" s="2"/>
      <c r="B522" s="2"/>
      <c r="C522" s="2"/>
      <c r="D522" s="2"/>
      <c r="E522" s="2"/>
      <c r="F522" s="2"/>
      <c r="G522" s="2"/>
      <c r="H522" s="2"/>
      <c r="I522" s="2"/>
      <c r="J522" s="2"/>
      <c r="K522" s="2"/>
      <c r="L522" s="2"/>
    </row>
    <row r="523" ht="15.75" customHeight="1">
      <c r="A523" s="2"/>
      <c r="B523" s="2"/>
      <c r="C523" s="2"/>
      <c r="D523" s="2"/>
      <c r="E523" s="2"/>
      <c r="F523" s="2"/>
      <c r="G523" s="2"/>
      <c r="H523" s="2"/>
      <c r="I523" s="2"/>
      <c r="J523" s="2"/>
      <c r="K523" s="2"/>
      <c r="L523" s="2"/>
    </row>
    <row r="524" ht="15.75" customHeight="1">
      <c r="A524" s="2"/>
      <c r="B524" s="2"/>
      <c r="C524" s="2"/>
      <c r="D524" s="2"/>
      <c r="E524" s="2"/>
      <c r="F524" s="2"/>
      <c r="G524" s="2"/>
      <c r="H524" s="2"/>
      <c r="I524" s="2"/>
      <c r="J524" s="2"/>
      <c r="K524" s="2"/>
      <c r="L524" s="2"/>
    </row>
    <row r="525" ht="15.75" customHeight="1">
      <c r="A525" s="2"/>
      <c r="B525" s="2"/>
      <c r="C525" s="2"/>
      <c r="D525" s="2"/>
      <c r="E525" s="2"/>
      <c r="F525" s="2"/>
      <c r="G525" s="2"/>
      <c r="H525" s="2"/>
      <c r="I525" s="2"/>
      <c r="J525" s="2"/>
      <c r="K525" s="2"/>
      <c r="L525" s="2"/>
    </row>
    <row r="526" ht="15.75" customHeight="1">
      <c r="A526" s="2"/>
      <c r="B526" s="2"/>
      <c r="C526" s="2"/>
      <c r="D526" s="2"/>
      <c r="E526" s="2"/>
      <c r="F526" s="2"/>
      <c r="G526" s="2"/>
      <c r="H526" s="2"/>
      <c r="I526" s="2"/>
      <c r="J526" s="2"/>
      <c r="K526" s="2"/>
      <c r="L526" s="2"/>
    </row>
    <row r="527" ht="15.75" customHeight="1">
      <c r="A527" s="2"/>
      <c r="B527" s="2"/>
      <c r="C527" s="2"/>
      <c r="D527" s="2"/>
      <c r="E527" s="2"/>
      <c r="F527" s="2"/>
      <c r="G527" s="2"/>
      <c r="H527" s="2"/>
      <c r="I527" s="2"/>
      <c r="J527" s="2"/>
      <c r="K527" s="2"/>
      <c r="L527" s="2"/>
    </row>
    <row r="528" ht="15.75" customHeight="1">
      <c r="A528" s="2"/>
      <c r="B528" s="2"/>
      <c r="C528" s="2"/>
      <c r="D528" s="2"/>
      <c r="E528" s="2"/>
      <c r="F528" s="2"/>
      <c r="G528" s="2"/>
      <c r="H528" s="2"/>
      <c r="I528" s="2"/>
      <c r="J528" s="2"/>
      <c r="K528" s="2"/>
      <c r="L528" s="2"/>
    </row>
    <row r="529" ht="15.75" customHeight="1">
      <c r="A529" s="2"/>
      <c r="B529" s="2"/>
      <c r="C529" s="2"/>
      <c r="D529" s="2"/>
      <c r="E529" s="2"/>
      <c r="F529" s="2"/>
      <c r="G529" s="2"/>
      <c r="H529" s="2"/>
      <c r="I529" s="2"/>
      <c r="J529" s="2"/>
      <c r="K529" s="2"/>
      <c r="L529" s="2"/>
    </row>
    <row r="530" ht="15.75" customHeight="1">
      <c r="A530" s="2"/>
      <c r="B530" s="2"/>
      <c r="C530" s="2"/>
      <c r="D530" s="2"/>
      <c r="E530" s="2"/>
      <c r="F530" s="2"/>
      <c r="G530" s="2"/>
      <c r="H530" s="2"/>
      <c r="I530" s="2"/>
      <c r="J530" s="2"/>
      <c r="K530" s="2"/>
      <c r="L530" s="2"/>
    </row>
    <row r="531" ht="15.75" customHeight="1">
      <c r="A531" s="2"/>
      <c r="B531" s="2"/>
      <c r="C531" s="2"/>
      <c r="D531" s="2"/>
      <c r="E531" s="2"/>
      <c r="F531" s="2"/>
      <c r="G531" s="2"/>
      <c r="H531" s="2"/>
      <c r="I531" s="2"/>
      <c r="J531" s="2"/>
      <c r="K531" s="2"/>
      <c r="L531" s="2"/>
    </row>
    <row r="532" ht="15.75" customHeight="1">
      <c r="A532" s="2"/>
      <c r="B532" s="2"/>
      <c r="C532" s="2"/>
      <c r="D532" s="2"/>
      <c r="E532" s="2"/>
      <c r="F532" s="2"/>
      <c r="G532" s="2"/>
      <c r="H532" s="2"/>
      <c r="I532" s="2"/>
      <c r="J532" s="2"/>
      <c r="K532" s="2"/>
      <c r="L532" s="2"/>
    </row>
    <row r="533" ht="15.75" customHeight="1">
      <c r="A533" s="2"/>
      <c r="B533" s="2"/>
      <c r="C533" s="2"/>
      <c r="D533" s="2"/>
      <c r="E533" s="2"/>
      <c r="F533" s="2"/>
      <c r="G533" s="2"/>
      <c r="H533" s="2"/>
      <c r="I533" s="2"/>
      <c r="J533" s="2"/>
      <c r="K533" s="2"/>
      <c r="L533" s="2"/>
    </row>
    <row r="534" ht="15.75" customHeight="1">
      <c r="A534" s="2"/>
      <c r="B534" s="2"/>
      <c r="C534" s="2"/>
      <c r="D534" s="2"/>
      <c r="E534" s="2"/>
      <c r="F534" s="2"/>
      <c r="G534" s="2"/>
      <c r="H534" s="2"/>
      <c r="I534" s="2"/>
      <c r="J534" s="2"/>
      <c r="K534" s="2"/>
      <c r="L534" s="2"/>
    </row>
    <row r="535" ht="15.75" customHeight="1">
      <c r="A535" s="2"/>
      <c r="B535" s="2"/>
      <c r="C535" s="2"/>
      <c r="D535" s="2"/>
      <c r="E535" s="2"/>
      <c r="F535" s="2"/>
      <c r="G535" s="2"/>
      <c r="H535" s="2"/>
      <c r="I535" s="2"/>
      <c r="J535" s="2"/>
      <c r="K535" s="2"/>
      <c r="L535" s="2"/>
    </row>
    <row r="536" ht="15.75" customHeight="1">
      <c r="A536" s="2"/>
      <c r="B536" s="2"/>
      <c r="C536" s="2"/>
      <c r="D536" s="2"/>
      <c r="E536" s="2"/>
      <c r="F536" s="2"/>
      <c r="G536" s="2"/>
      <c r="H536" s="2"/>
      <c r="I536" s="2"/>
      <c r="J536" s="2"/>
      <c r="K536" s="2"/>
      <c r="L536" s="2"/>
    </row>
    <row r="537" ht="15.75" customHeight="1">
      <c r="A537" s="2"/>
      <c r="B537" s="2"/>
      <c r="C537" s="2"/>
      <c r="D537" s="2"/>
      <c r="E537" s="2"/>
      <c r="F537" s="2"/>
      <c r="G537" s="2"/>
      <c r="H537" s="2"/>
      <c r="I537" s="2"/>
      <c r="J537" s="2"/>
      <c r="K537" s="2"/>
      <c r="L537" s="2"/>
    </row>
    <row r="538" ht="15.75" customHeight="1">
      <c r="A538" s="2"/>
      <c r="B538" s="2"/>
      <c r="C538" s="2"/>
      <c r="D538" s="2"/>
      <c r="E538" s="2"/>
      <c r="F538" s="2"/>
      <c r="G538" s="2"/>
      <c r="H538" s="2"/>
      <c r="I538" s="2"/>
      <c r="J538" s="2"/>
      <c r="K538" s="2"/>
      <c r="L538" s="2"/>
    </row>
    <row r="539" ht="15.75" customHeight="1">
      <c r="A539" s="2"/>
      <c r="B539" s="2"/>
      <c r="C539" s="2"/>
      <c r="D539" s="2"/>
      <c r="E539" s="2"/>
      <c r="F539" s="2"/>
      <c r="G539" s="2"/>
      <c r="H539" s="2"/>
      <c r="I539" s="2"/>
      <c r="J539" s="2"/>
      <c r="K539" s="2"/>
      <c r="L539" s="2"/>
    </row>
    <row r="540" ht="15.75" customHeight="1">
      <c r="A540" s="2"/>
      <c r="B540" s="2"/>
      <c r="C540" s="2"/>
      <c r="D540" s="2"/>
      <c r="E540" s="2"/>
      <c r="F540" s="2"/>
      <c r="G540" s="2"/>
      <c r="H540" s="2"/>
      <c r="I540" s="2"/>
      <c r="J540" s="2"/>
      <c r="K540" s="2"/>
      <c r="L540" s="2"/>
    </row>
    <row r="541" ht="15.75" customHeight="1">
      <c r="A541" s="2"/>
      <c r="B541" s="2"/>
      <c r="C541" s="2"/>
      <c r="D541" s="2"/>
      <c r="E541" s="2"/>
      <c r="F541" s="2"/>
      <c r="G541" s="2"/>
      <c r="H541" s="2"/>
      <c r="I541" s="2"/>
      <c r="J541" s="2"/>
      <c r="K541" s="2"/>
      <c r="L541" s="2"/>
    </row>
    <row r="542" ht="15.75" customHeight="1">
      <c r="A542" s="2"/>
      <c r="B542" s="2"/>
      <c r="C542" s="2"/>
      <c r="D542" s="2"/>
      <c r="E542" s="2"/>
      <c r="F542" s="2"/>
      <c r="G542" s="2"/>
      <c r="H542" s="2"/>
      <c r="I542" s="2"/>
      <c r="J542" s="2"/>
      <c r="K542" s="2"/>
      <c r="L542" s="2"/>
    </row>
    <row r="543" ht="15.75" customHeight="1">
      <c r="A543" s="2"/>
      <c r="B543" s="2"/>
      <c r="C543" s="2"/>
      <c r="D543" s="2"/>
      <c r="E543" s="2"/>
      <c r="F543" s="2"/>
      <c r="G543" s="2"/>
      <c r="H543" s="2"/>
      <c r="I543" s="2"/>
      <c r="J543" s="2"/>
      <c r="K543" s="2"/>
      <c r="L543" s="2"/>
    </row>
    <row r="544" ht="15.75" customHeight="1">
      <c r="A544" s="2"/>
      <c r="B544" s="2"/>
      <c r="C544" s="2"/>
      <c r="D544" s="2"/>
      <c r="E544" s="2"/>
      <c r="F544" s="2"/>
      <c r="G544" s="2"/>
      <c r="H544" s="2"/>
      <c r="I544" s="2"/>
      <c r="J544" s="2"/>
      <c r="K544" s="2"/>
      <c r="L544" s="2"/>
    </row>
    <row r="545" ht="15.75" customHeight="1">
      <c r="A545" s="2"/>
      <c r="B545" s="2"/>
      <c r="C545" s="2"/>
      <c r="D545" s="2"/>
      <c r="E545" s="2"/>
      <c r="F545" s="2"/>
      <c r="G545" s="2"/>
      <c r="H545" s="2"/>
      <c r="I545" s="2"/>
      <c r="J545" s="2"/>
      <c r="K545" s="2"/>
      <c r="L545" s="2"/>
    </row>
    <row r="546" ht="15.75" customHeight="1">
      <c r="A546" s="2"/>
      <c r="B546" s="2"/>
      <c r="C546" s="2"/>
      <c r="D546" s="2"/>
      <c r="E546" s="2"/>
      <c r="F546" s="2"/>
      <c r="G546" s="2"/>
      <c r="H546" s="2"/>
      <c r="I546" s="2"/>
      <c r="J546" s="2"/>
      <c r="K546" s="2"/>
      <c r="L546" s="2"/>
    </row>
    <row r="547" ht="15.75" customHeight="1">
      <c r="A547" s="2"/>
      <c r="B547" s="2"/>
      <c r="C547" s="2"/>
      <c r="D547" s="2"/>
      <c r="E547" s="2"/>
      <c r="F547" s="2"/>
      <c r="G547" s="2"/>
      <c r="H547" s="2"/>
      <c r="I547" s="2"/>
      <c r="J547" s="2"/>
      <c r="K547" s="2"/>
      <c r="L547" s="2"/>
    </row>
    <row r="548" ht="15.75" customHeight="1">
      <c r="A548" s="2"/>
      <c r="B548" s="2"/>
      <c r="C548" s="2"/>
      <c r="D548" s="2"/>
      <c r="E548" s="2"/>
      <c r="F548" s="2"/>
      <c r="G548" s="2"/>
      <c r="H548" s="2"/>
      <c r="I548" s="2"/>
      <c r="J548" s="2"/>
      <c r="K548" s="2"/>
      <c r="L548" s="2"/>
    </row>
    <row r="549" ht="15.75" customHeight="1">
      <c r="A549" s="2"/>
      <c r="B549" s="2"/>
      <c r="C549" s="2"/>
      <c r="D549" s="2"/>
      <c r="E549" s="2"/>
      <c r="F549" s="2"/>
      <c r="G549" s="2"/>
      <c r="H549" s="2"/>
      <c r="I549" s="2"/>
      <c r="J549" s="2"/>
      <c r="K549" s="2"/>
      <c r="L549" s="2"/>
    </row>
    <row r="550" ht="15.75" customHeight="1">
      <c r="A550" s="2"/>
      <c r="B550" s="2"/>
      <c r="C550" s="2"/>
      <c r="D550" s="2"/>
      <c r="E550" s="2"/>
      <c r="F550" s="2"/>
      <c r="G550" s="2"/>
      <c r="H550" s="2"/>
      <c r="I550" s="2"/>
      <c r="J550" s="2"/>
      <c r="K550" s="2"/>
      <c r="L550" s="2"/>
    </row>
    <row r="551" ht="15.75" customHeight="1">
      <c r="A551" s="2"/>
      <c r="B551" s="2"/>
      <c r="C551" s="2"/>
      <c r="D551" s="2"/>
      <c r="E551" s="2"/>
      <c r="F551" s="2"/>
      <c r="G551" s="2"/>
      <c r="H551" s="2"/>
      <c r="I551" s="2"/>
      <c r="J551" s="2"/>
      <c r="K551" s="2"/>
      <c r="L551" s="2"/>
    </row>
    <row r="552" ht="15.75" customHeight="1">
      <c r="A552" s="2"/>
      <c r="B552" s="2"/>
      <c r="C552" s="2"/>
      <c r="D552" s="2"/>
      <c r="E552" s="2"/>
      <c r="F552" s="2"/>
      <c r="G552" s="2"/>
      <c r="H552" s="2"/>
      <c r="I552" s="2"/>
      <c r="J552" s="2"/>
      <c r="K552" s="2"/>
      <c r="L552" s="2"/>
    </row>
    <row r="553" ht="15.75" customHeight="1">
      <c r="A553" s="2"/>
      <c r="B553" s="2"/>
      <c r="C553" s="2"/>
      <c r="D553" s="2"/>
      <c r="E553" s="2"/>
      <c r="F553" s="2"/>
      <c r="G553" s="2"/>
      <c r="H553" s="2"/>
      <c r="I553" s="2"/>
      <c r="J553" s="2"/>
      <c r="K553" s="2"/>
      <c r="L553" s="2"/>
    </row>
    <row r="554" ht="15.75" customHeight="1">
      <c r="A554" s="2"/>
      <c r="B554" s="2"/>
      <c r="C554" s="2"/>
      <c r="D554" s="2"/>
      <c r="E554" s="2"/>
      <c r="F554" s="2"/>
      <c r="G554" s="2"/>
      <c r="H554" s="2"/>
      <c r="I554" s="2"/>
      <c r="J554" s="2"/>
      <c r="K554" s="2"/>
      <c r="L554" s="2"/>
    </row>
    <row r="555" ht="15.75" customHeight="1">
      <c r="A555" s="2"/>
      <c r="B555" s="2"/>
      <c r="C555" s="2"/>
      <c r="D555" s="2"/>
      <c r="E555" s="2"/>
      <c r="F555" s="2"/>
      <c r="G555" s="2"/>
      <c r="H555" s="2"/>
      <c r="I555" s="2"/>
      <c r="J555" s="2"/>
      <c r="K555" s="2"/>
      <c r="L555" s="2"/>
    </row>
    <row r="556" ht="15.75" customHeight="1">
      <c r="A556" s="2"/>
      <c r="B556" s="2"/>
      <c r="C556" s="2"/>
      <c r="D556" s="2"/>
      <c r="E556" s="2"/>
      <c r="F556" s="2"/>
      <c r="G556" s="2"/>
      <c r="H556" s="2"/>
      <c r="I556" s="2"/>
      <c r="J556" s="2"/>
      <c r="K556" s="2"/>
      <c r="L556" s="2"/>
    </row>
    <row r="557" ht="15.75" customHeight="1">
      <c r="A557" s="2"/>
      <c r="B557" s="2"/>
      <c r="C557" s="2"/>
      <c r="D557" s="2"/>
      <c r="E557" s="2"/>
      <c r="F557" s="2"/>
      <c r="G557" s="2"/>
      <c r="H557" s="2"/>
      <c r="I557" s="2"/>
      <c r="J557" s="2"/>
      <c r="K557" s="2"/>
      <c r="L557" s="2"/>
    </row>
    <row r="558" ht="15.75" customHeight="1">
      <c r="A558" s="2"/>
      <c r="B558" s="2"/>
      <c r="C558" s="2"/>
      <c r="D558" s="2"/>
      <c r="E558" s="2"/>
      <c r="F558" s="2"/>
      <c r="G558" s="2"/>
      <c r="H558" s="2"/>
      <c r="I558" s="2"/>
      <c r="J558" s="2"/>
      <c r="K558" s="2"/>
      <c r="L558" s="2"/>
    </row>
    <row r="559" ht="15.75" customHeight="1">
      <c r="A559" s="2"/>
      <c r="B559" s="2"/>
      <c r="C559" s="2"/>
      <c r="D559" s="2"/>
      <c r="E559" s="2"/>
      <c r="F559" s="2"/>
      <c r="G559" s="2"/>
      <c r="H559" s="2"/>
      <c r="I559" s="2"/>
      <c r="J559" s="2"/>
      <c r="K559" s="2"/>
      <c r="L559" s="2"/>
    </row>
    <row r="560" ht="15.75" customHeight="1">
      <c r="A560" s="2"/>
      <c r="B560" s="2"/>
      <c r="C560" s="2"/>
      <c r="D560" s="2"/>
      <c r="E560" s="2"/>
      <c r="F560" s="2"/>
      <c r="G560" s="2"/>
      <c r="H560" s="2"/>
      <c r="I560" s="2"/>
      <c r="J560" s="2"/>
      <c r="K560" s="2"/>
      <c r="L560" s="2"/>
    </row>
    <row r="561" ht="15.75" customHeight="1">
      <c r="A561" s="2"/>
      <c r="B561" s="2"/>
      <c r="C561" s="2"/>
      <c r="D561" s="2"/>
      <c r="E561" s="2"/>
      <c r="F561" s="2"/>
      <c r="G561" s="2"/>
      <c r="H561" s="2"/>
      <c r="I561" s="2"/>
      <c r="J561" s="2"/>
      <c r="K561" s="2"/>
      <c r="L561" s="2"/>
    </row>
    <row r="562" ht="15.75" customHeight="1">
      <c r="A562" s="2"/>
      <c r="B562" s="2"/>
      <c r="C562" s="2"/>
      <c r="D562" s="2"/>
      <c r="E562" s="2"/>
      <c r="F562" s="2"/>
      <c r="G562" s="2"/>
      <c r="H562" s="2"/>
      <c r="I562" s="2"/>
      <c r="J562" s="2"/>
      <c r="K562" s="2"/>
      <c r="L562" s="2"/>
    </row>
    <row r="563" ht="15.75" customHeight="1">
      <c r="A563" s="2"/>
      <c r="B563" s="2"/>
      <c r="C563" s="2"/>
      <c r="D563" s="2"/>
      <c r="E563" s="2"/>
      <c r="F563" s="2"/>
      <c r="G563" s="2"/>
      <c r="H563" s="2"/>
      <c r="I563" s="2"/>
      <c r="J563" s="2"/>
      <c r="K563" s="2"/>
      <c r="L563" s="2"/>
    </row>
    <row r="564" ht="15.75" customHeight="1">
      <c r="A564" s="2"/>
      <c r="B564" s="2"/>
      <c r="C564" s="2"/>
      <c r="D564" s="2"/>
      <c r="E564" s="2"/>
      <c r="F564" s="2"/>
      <c r="G564" s="2"/>
      <c r="H564" s="2"/>
      <c r="I564" s="2"/>
      <c r="J564" s="2"/>
      <c r="K564" s="2"/>
      <c r="L564" s="2"/>
    </row>
    <row r="565" ht="15.75" customHeight="1">
      <c r="A565" s="2"/>
      <c r="B565" s="2"/>
      <c r="C565" s="2"/>
      <c r="D565" s="2"/>
      <c r="E565" s="2"/>
      <c r="F565" s="2"/>
      <c r="G565" s="2"/>
      <c r="H565" s="2"/>
      <c r="I565" s="2"/>
      <c r="J565" s="2"/>
      <c r="K565" s="2"/>
      <c r="L565" s="2"/>
    </row>
    <row r="566" ht="15.75" customHeight="1">
      <c r="A566" s="2"/>
      <c r="B566" s="2"/>
      <c r="C566" s="2"/>
      <c r="D566" s="2"/>
      <c r="E566" s="2"/>
      <c r="F566" s="2"/>
      <c r="G566" s="2"/>
      <c r="H566" s="2"/>
      <c r="I566" s="2"/>
      <c r="J566" s="2"/>
      <c r="K566" s="2"/>
      <c r="L566" s="2"/>
    </row>
    <row r="567" ht="15.75" customHeight="1">
      <c r="A567" s="2"/>
      <c r="B567" s="2"/>
      <c r="C567" s="2"/>
      <c r="D567" s="2"/>
      <c r="E567" s="2"/>
      <c r="F567" s="2"/>
      <c r="G567" s="2"/>
      <c r="H567" s="2"/>
      <c r="I567" s="2"/>
      <c r="J567" s="2"/>
      <c r="K567" s="2"/>
      <c r="L567" s="2"/>
    </row>
    <row r="568" ht="15.75" customHeight="1">
      <c r="A568" s="2"/>
      <c r="B568" s="2"/>
      <c r="C568" s="2"/>
      <c r="D568" s="2"/>
      <c r="E568" s="2"/>
      <c r="F568" s="2"/>
      <c r="G568" s="2"/>
      <c r="H568" s="2"/>
      <c r="I568" s="2"/>
      <c r="J568" s="2"/>
      <c r="K568" s="2"/>
      <c r="L568" s="2"/>
    </row>
    <row r="569" ht="15.75" customHeight="1">
      <c r="A569" s="2"/>
      <c r="B569" s="2"/>
      <c r="C569" s="2"/>
      <c r="D569" s="2"/>
      <c r="E569" s="2"/>
      <c r="F569" s="2"/>
      <c r="G569" s="2"/>
      <c r="H569" s="2"/>
      <c r="I569" s="2"/>
      <c r="J569" s="2"/>
      <c r="K569" s="2"/>
      <c r="L569" s="2"/>
    </row>
    <row r="570" ht="15.75" customHeight="1">
      <c r="A570" s="2"/>
      <c r="B570" s="2"/>
      <c r="C570" s="2"/>
      <c r="D570" s="2"/>
      <c r="E570" s="2"/>
      <c r="F570" s="2"/>
      <c r="G570" s="2"/>
      <c r="H570" s="2"/>
      <c r="I570" s="2"/>
      <c r="J570" s="2"/>
      <c r="K570" s="2"/>
      <c r="L570" s="2"/>
    </row>
    <row r="571" ht="15.75" customHeight="1">
      <c r="A571" s="2"/>
      <c r="B571" s="2"/>
      <c r="C571" s="2"/>
      <c r="D571" s="2"/>
      <c r="E571" s="2"/>
      <c r="F571" s="2"/>
      <c r="G571" s="2"/>
      <c r="H571" s="2"/>
      <c r="I571" s="2"/>
      <c r="J571" s="2"/>
      <c r="K571" s="2"/>
      <c r="L571" s="2"/>
    </row>
    <row r="572" ht="15.75" customHeight="1">
      <c r="A572" s="2"/>
      <c r="B572" s="2"/>
      <c r="C572" s="2"/>
      <c r="D572" s="2"/>
      <c r="E572" s="2"/>
      <c r="F572" s="2"/>
      <c r="G572" s="2"/>
      <c r="H572" s="2"/>
      <c r="I572" s="2"/>
      <c r="J572" s="2"/>
      <c r="K572" s="2"/>
      <c r="L572" s="2"/>
    </row>
    <row r="573" ht="15.75" customHeight="1">
      <c r="A573" s="2"/>
      <c r="B573" s="2"/>
      <c r="C573" s="2"/>
      <c r="D573" s="2"/>
      <c r="E573" s="2"/>
      <c r="F573" s="2"/>
      <c r="G573" s="2"/>
      <c r="H573" s="2"/>
      <c r="I573" s="2"/>
      <c r="J573" s="2"/>
      <c r="K573" s="2"/>
      <c r="L573" s="2"/>
    </row>
    <row r="574" ht="15.75" customHeight="1">
      <c r="A574" s="2"/>
      <c r="B574" s="2"/>
      <c r="C574" s="2"/>
      <c r="D574" s="2"/>
      <c r="E574" s="2"/>
      <c r="F574" s="2"/>
      <c r="G574" s="2"/>
      <c r="H574" s="2"/>
      <c r="I574" s="2"/>
      <c r="J574" s="2"/>
      <c r="K574" s="2"/>
      <c r="L574" s="2"/>
    </row>
    <row r="575" ht="15.75" customHeight="1">
      <c r="A575" s="2"/>
      <c r="B575" s="2"/>
      <c r="C575" s="2"/>
      <c r="D575" s="2"/>
      <c r="E575" s="2"/>
      <c r="F575" s="2"/>
      <c r="G575" s="2"/>
      <c r="H575" s="2"/>
      <c r="I575" s="2"/>
      <c r="J575" s="2"/>
      <c r="K575" s="2"/>
      <c r="L575" s="2"/>
    </row>
    <row r="576" ht="15.75" customHeight="1">
      <c r="A576" s="2"/>
      <c r="B576" s="2"/>
      <c r="C576" s="2"/>
      <c r="D576" s="2"/>
      <c r="E576" s="2"/>
      <c r="F576" s="2"/>
      <c r="G576" s="2"/>
      <c r="H576" s="2"/>
      <c r="I576" s="2"/>
      <c r="J576" s="2"/>
      <c r="K576" s="2"/>
      <c r="L576" s="2"/>
    </row>
    <row r="577" ht="15.75" customHeight="1">
      <c r="A577" s="2"/>
      <c r="B577" s="2"/>
      <c r="C577" s="2"/>
      <c r="D577" s="2"/>
      <c r="E577" s="2"/>
      <c r="F577" s="2"/>
      <c r="G577" s="2"/>
      <c r="H577" s="2"/>
      <c r="I577" s="2"/>
      <c r="J577" s="2"/>
      <c r="K577" s="2"/>
      <c r="L577" s="2"/>
    </row>
    <row r="578" ht="15.75" customHeight="1">
      <c r="A578" s="2"/>
      <c r="B578" s="2"/>
      <c r="C578" s="2"/>
      <c r="D578" s="2"/>
      <c r="E578" s="2"/>
      <c r="F578" s="2"/>
      <c r="G578" s="2"/>
      <c r="H578" s="2"/>
      <c r="I578" s="2"/>
      <c r="J578" s="2"/>
      <c r="K578" s="2"/>
      <c r="L578" s="2"/>
    </row>
    <row r="579" ht="15.75" customHeight="1">
      <c r="A579" s="2"/>
      <c r="B579" s="2"/>
      <c r="C579" s="2"/>
      <c r="D579" s="2"/>
      <c r="E579" s="2"/>
      <c r="F579" s="2"/>
      <c r="G579" s="2"/>
      <c r="H579" s="2"/>
      <c r="I579" s="2"/>
      <c r="J579" s="2"/>
      <c r="K579" s="2"/>
      <c r="L579" s="2"/>
    </row>
    <row r="580" ht="15.75" customHeight="1">
      <c r="A580" s="2"/>
      <c r="B580" s="2"/>
      <c r="C580" s="2"/>
      <c r="D580" s="2"/>
      <c r="E580" s="2"/>
      <c r="F580" s="2"/>
      <c r="G580" s="2"/>
      <c r="H580" s="2"/>
      <c r="I580" s="2"/>
      <c r="J580" s="2"/>
      <c r="K580" s="2"/>
      <c r="L580" s="2"/>
    </row>
    <row r="581" ht="15.75" customHeight="1">
      <c r="A581" s="2"/>
      <c r="B581" s="2"/>
      <c r="C581" s="2"/>
      <c r="D581" s="2"/>
      <c r="E581" s="2"/>
      <c r="F581" s="2"/>
      <c r="G581" s="2"/>
      <c r="H581" s="2"/>
      <c r="I581" s="2"/>
      <c r="J581" s="2"/>
      <c r="K581" s="2"/>
      <c r="L581" s="2"/>
    </row>
    <row r="582" ht="15.75" customHeight="1">
      <c r="A582" s="2"/>
      <c r="B582" s="2"/>
      <c r="C582" s="2"/>
      <c r="D582" s="2"/>
      <c r="E582" s="2"/>
      <c r="F582" s="2"/>
      <c r="G582" s="2"/>
      <c r="H582" s="2"/>
      <c r="I582" s="2"/>
      <c r="J582" s="2"/>
      <c r="K582" s="2"/>
      <c r="L582" s="2"/>
    </row>
    <row r="583" ht="15.75" customHeight="1">
      <c r="A583" s="2"/>
      <c r="B583" s="2"/>
      <c r="C583" s="2"/>
      <c r="D583" s="2"/>
      <c r="E583" s="2"/>
      <c r="F583" s="2"/>
      <c r="G583" s="2"/>
      <c r="H583" s="2"/>
      <c r="I583" s="2"/>
      <c r="J583" s="2"/>
      <c r="K583" s="2"/>
      <c r="L583" s="2"/>
    </row>
    <row r="584" ht="15.75" customHeight="1">
      <c r="A584" s="2"/>
      <c r="B584" s="2"/>
      <c r="C584" s="2"/>
      <c r="D584" s="2"/>
      <c r="E584" s="2"/>
      <c r="F584" s="2"/>
      <c r="G584" s="2"/>
      <c r="H584" s="2"/>
      <c r="I584" s="2"/>
      <c r="J584" s="2"/>
      <c r="K584" s="2"/>
      <c r="L584" s="2"/>
    </row>
    <row r="585" ht="15.75" customHeight="1">
      <c r="A585" s="2"/>
      <c r="B585" s="2"/>
      <c r="C585" s="2"/>
      <c r="D585" s="2"/>
      <c r="E585" s="2"/>
      <c r="F585" s="2"/>
      <c r="G585" s="2"/>
      <c r="H585" s="2"/>
      <c r="I585" s="2"/>
      <c r="J585" s="2"/>
      <c r="K585" s="2"/>
      <c r="L585" s="2"/>
    </row>
    <row r="586" ht="15.75" customHeight="1">
      <c r="A586" s="2"/>
      <c r="B586" s="2"/>
      <c r="C586" s="2"/>
      <c r="D586" s="2"/>
      <c r="E586" s="2"/>
      <c r="F586" s="2"/>
      <c r="G586" s="2"/>
      <c r="H586" s="2"/>
      <c r="I586" s="2"/>
      <c r="J586" s="2"/>
      <c r="K586" s="2"/>
      <c r="L586" s="2"/>
    </row>
    <row r="587" ht="15.75" customHeight="1">
      <c r="A587" s="2"/>
      <c r="B587" s="2"/>
      <c r="C587" s="2"/>
      <c r="D587" s="2"/>
      <c r="E587" s="2"/>
      <c r="F587" s="2"/>
      <c r="G587" s="2"/>
      <c r="H587" s="2"/>
      <c r="I587" s="2"/>
      <c r="J587" s="2"/>
      <c r="K587" s="2"/>
      <c r="L587" s="2"/>
    </row>
    <row r="588" ht="15.75" customHeight="1">
      <c r="A588" s="2"/>
      <c r="B588" s="2"/>
      <c r="C588" s="2"/>
      <c r="D588" s="2"/>
      <c r="E588" s="2"/>
      <c r="F588" s="2"/>
      <c r="G588" s="2"/>
      <c r="H588" s="2"/>
      <c r="I588" s="2"/>
      <c r="J588" s="2"/>
      <c r="K588" s="2"/>
      <c r="L588" s="2"/>
    </row>
    <row r="589" ht="15.75" customHeight="1">
      <c r="A589" s="2"/>
      <c r="B589" s="2"/>
      <c r="C589" s="2"/>
      <c r="D589" s="2"/>
      <c r="E589" s="2"/>
      <c r="F589" s="2"/>
      <c r="G589" s="2"/>
      <c r="H589" s="2"/>
      <c r="I589" s="2"/>
      <c r="J589" s="2"/>
      <c r="K589" s="2"/>
      <c r="L589" s="2"/>
    </row>
    <row r="590" ht="15.75" customHeight="1">
      <c r="A590" s="2"/>
      <c r="B590" s="2"/>
      <c r="C590" s="2"/>
      <c r="D590" s="2"/>
      <c r="E590" s="2"/>
      <c r="F590" s="2"/>
      <c r="G590" s="2"/>
      <c r="H590" s="2"/>
      <c r="I590" s="2"/>
      <c r="J590" s="2"/>
      <c r="K590" s="2"/>
      <c r="L590" s="2"/>
    </row>
    <row r="591" ht="15.75" customHeight="1">
      <c r="A591" s="2"/>
      <c r="B591" s="2"/>
      <c r="C591" s="2"/>
      <c r="D591" s="2"/>
      <c r="E591" s="2"/>
      <c r="F591" s="2"/>
      <c r="G591" s="2"/>
      <c r="H591" s="2"/>
      <c r="I591" s="2"/>
      <c r="J591" s="2"/>
      <c r="K591" s="2"/>
      <c r="L591" s="2"/>
    </row>
    <row r="592" ht="15.75" customHeight="1">
      <c r="A592" s="2"/>
      <c r="B592" s="2"/>
      <c r="C592" s="2"/>
      <c r="D592" s="2"/>
      <c r="E592" s="2"/>
      <c r="F592" s="2"/>
      <c r="G592" s="2"/>
      <c r="H592" s="2"/>
      <c r="I592" s="2"/>
      <c r="J592" s="2"/>
      <c r="K592" s="2"/>
      <c r="L592" s="2"/>
    </row>
    <row r="593" ht="15.75" customHeight="1">
      <c r="A593" s="2"/>
      <c r="B593" s="2"/>
      <c r="C593" s="2"/>
      <c r="D593" s="2"/>
      <c r="E593" s="2"/>
      <c r="F593" s="2"/>
      <c r="G593" s="2"/>
      <c r="H593" s="2"/>
      <c r="I593" s="2"/>
      <c r="J593" s="2"/>
      <c r="K593" s="2"/>
      <c r="L593" s="2"/>
    </row>
    <row r="594" ht="15.75" customHeight="1">
      <c r="A594" s="2"/>
      <c r="B594" s="2"/>
      <c r="C594" s="2"/>
      <c r="D594" s="2"/>
      <c r="E594" s="2"/>
      <c r="F594" s="2"/>
      <c r="G594" s="2"/>
      <c r="H594" s="2"/>
      <c r="I594" s="2"/>
      <c r="J594" s="2"/>
      <c r="K594" s="2"/>
      <c r="L594" s="2"/>
    </row>
    <row r="595" ht="15.75" customHeight="1">
      <c r="A595" s="2"/>
      <c r="B595" s="2"/>
      <c r="C595" s="2"/>
      <c r="D595" s="2"/>
      <c r="E595" s="2"/>
      <c r="F595" s="2"/>
      <c r="G595" s="2"/>
      <c r="H595" s="2"/>
      <c r="I595" s="2"/>
      <c r="J595" s="2"/>
      <c r="K595" s="2"/>
      <c r="L595" s="2"/>
    </row>
    <row r="596" ht="15.75" customHeight="1">
      <c r="A596" s="2"/>
      <c r="B596" s="2"/>
      <c r="C596" s="2"/>
      <c r="D596" s="2"/>
      <c r="E596" s="2"/>
      <c r="F596" s="2"/>
      <c r="G596" s="2"/>
      <c r="H596" s="2"/>
      <c r="I596" s="2"/>
      <c r="J596" s="2"/>
      <c r="K596" s="2"/>
      <c r="L596" s="2"/>
    </row>
    <row r="597" ht="15.75" customHeight="1">
      <c r="A597" s="2"/>
      <c r="B597" s="2"/>
      <c r="C597" s="2"/>
      <c r="D597" s="2"/>
      <c r="E597" s="2"/>
      <c r="F597" s="2"/>
      <c r="G597" s="2"/>
      <c r="H597" s="2"/>
      <c r="I597" s="2"/>
      <c r="J597" s="2"/>
      <c r="K597" s="2"/>
      <c r="L597" s="2"/>
    </row>
    <row r="598" ht="15.75" customHeight="1">
      <c r="A598" s="2"/>
      <c r="B598" s="2"/>
      <c r="C598" s="2"/>
      <c r="D598" s="2"/>
      <c r="E598" s="2"/>
      <c r="F598" s="2"/>
      <c r="G598" s="2"/>
      <c r="H598" s="2"/>
      <c r="I598" s="2"/>
      <c r="J598" s="2"/>
      <c r="K598" s="2"/>
      <c r="L598" s="2"/>
    </row>
    <row r="599" ht="15.75" customHeight="1">
      <c r="A599" s="2"/>
      <c r="B599" s="2"/>
      <c r="C599" s="2"/>
      <c r="D599" s="2"/>
      <c r="E599" s="2"/>
      <c r="F599" s="2"/>
      <c r="G599" s="2"/>
      <c r="H599" s="2"/>
      <c r="I599" s="2"/>
      <c r="J599" s="2"/>
      <c r="K599" s="2"/>
      <c r="L599" s="2"/>
    </row>
    <row r="600" ht="15.75" customHeight="1">
      <c r="A600" s="2"/>
      <c r="B600" s="2"/>
      <c r="C600" s="2"/>
      <c r="D600" s="2"/>
      <c r="E600" s="2"/>
      <c r="F600" s="2"/>
      <c r="G600" s="2"/>
      <c r="H600" s="2"/>
      <c r="I600" s="2"/>
      <c r="J600" s="2"/>
      <c r="K600" s="2"/>
      <c r="L600" s="2"/>
    </row>
    <row r="601" ht="15.75" customHeight="1">
      <c r="A601" s="2"/>
      <c r="B601" s="2"/>
      <c r="C601" s="2"/>
      <c r="D601" s="2"/>
      <c r="E601" s="2"/>
      <c r="F601" s="2"/>
      <c r="G601" s="2"/>
      <c r="H601" s="2"/>
      <c r="I601" s="2"/>
      <c r="J601" s="2"/>
      <c r="K601" s="2"/>
      <c r="L601" s="2"/>
    </row>
    <row r="602" ht="15.75" customHeight="1">
      <c r="A602" s="2"/>
      <c r="B602" s="2"/>
      <c r="C602" s="2"/>
      <c r="D602" s="2"/>
      <c r="E602" s="2"/>
      <c r="F602" s="2"/>
      <c r="G602" s="2"/>
      <c r="H602" s="2"/>
      <c r="I602" s="2"/>
      <c r="J602" s="2"/>
      <c r="K602" s="2"/>
      <c r="L602" s="2"/>
    </row>
    <row r="603" ht="15.75" customHeight="1">
      <c r="A603" s="2"/>
      <c r="B603" s="2"/>
      <c r="C603" s="2"/>
      <c r="D603" s="2"/>
      <c r="E603" s="2"/>
      <c r="F603" s="2"/>
      <c r="G603" s="2"/>
      <c r="H603" s="2"/>
      <c r="I603" s="2"/>
      <c r="J603" s="2"/>
      <c r="K603" s="2"/>
      <c r="L603" s="2"/>
    </row>
    <row r="604" ht="15.75" customHeight="1">
      <c r="A604" s="2"/>
      <c r="B604" s="2"/>
      <c r="C604" s="2"/>
      <c r="D604" s="2"/>
      <c r="E604" s="2"/>
      <c r="F604" s="2"/>
      <c r="G604" s="2"/>
      <c r="H604" s="2"/>
      <c r="I604" s="2"/>
      <c r="J604" s="2"/>
      <c r="K604" s="2"/>
      <c r="L604" s="2"/>
    </row>
    <row r="605" ht="15.75" customHeight="1">
      <c r="A605" s="2"/>
      <c r="B605" s="2"/>
      <c r="C605" s="2"/>
      <c r="D605" s="2"/>
      <c r="E605" s="2"/>
      <c r="F605" s="2"/>
      <c r="G605" s="2"/>
      <c r="H605" s="2"/>
      <c r="I605" s="2"/>
      <c r="J605" s="2"/>
      <c r="K605" s="2"/>
      <c r="L605" s="2"/>
    </row>
    <row r="606" ht="15.75" customHeight="1">
      <c r="A606" s="2"/>
      <c r="B606" s="2"/>
      <c r="C606" s="2"/>
      <c r="D606" s="2"/>
      <c r="E606" s="2"/>
      <c r="F606" s="2"/>
      <c r="G606" s="2"/>
      <c r="H606" s="2"/>
      <c r="I606" s="2"/>
      <c r="J606" s="2"/>
      <c r="K606" s="2"/>
      <c r="L606" s="2"/>
    </row>
    <row r="607" ht="15.75" customHeight="1">
      <c r="A607" s="2"/>
      <c r="B607" s="2"/>
      <c r="C607" s="2"/>
      <c r="D607" s="2"/>
      <c r="E607" s="2"/>
      <c r="F607" s="2"/>
      <c r="G607" s="2"/>
      <c r="H607" s="2"/>
      <c r="I607" s="2"/>
      <c r="J607" s="2"/>
      <c r="K607" s="2"/>
      <c r="L607" s="2"/>
    </row>
    <row r="608" ht="15.75" customHeight="1">
      <c r="A608" s="2"/>
      <c r="B608" s="2"/>
      <c r="C608" s="2"/>
      <c r="D608" s="2"/>
      <c r="E608" s="2"/>
      <c r="F608" s="2"/>
      <c r="G608" s="2"/>
      <c r="H608" s="2"/>
      <c r="I608" s="2"/>
      <c r="J608" s="2"/>
      <c r="K608" s="2"/>
      <c r="L608" s="2"/>
    </row>
    <row r="609" ht="15.75" customHeight="1">
      <c r="A609" s="2"/>
      <c r="B609" s="2"/>
      <c r="C609" s="2"/>
      <c r="D609" s="2"/>
      <c r="E609" s="2"/>
      <c r="F609" s="2"/>
      <c r="G609" s="2"/>
      <c r="H609" s="2"/>
      <c r="I609" s="2"/>
      <c r="J609" s="2"/>
      <c r="K609" s="2"/>
      <c r="L609" s="2"/>
    </row>
    <row r="610" ht="15.75" customHeight="1">
      <c r="A610" s="2"/>
      <c r="B610" s="2"/>
      <c r="C610" s="2"/>
      <c r="D610" s="2"/>
      <c r="E610" s="2"/>
      <c r="F610" s="2"/>
      <c r="G610" s="2"/>
      <c r="H610" s="2"/>
      <c r="I610" s="2"/>
      <c r="J610" s="2"/>
      <c r="K610" s="2"/>
      <c r="L610" s="2"/>
    </row>
    <row r="611" ht="15.75" customHeight="1">
      <c r="A611" s="2"/>
      <c r="B611" s="2"/>
      <c r="C611" s="2"/>
      <c r="D611" s="2"/>
      <c r="E611" s="2"/>
      <c r="F611" s="2"/>
      <c r="G611" s="2"/>
      <c r="H611" s="2"/>
      <c r="I611" s="2"/>
      <c r="J611" s="2"/>
      <c r="K611" s="2"/>
      <c r="L611" s="2"/>
    </row>
    <row r="612" ht="15.75" customHeight="1">
      <c r="A612" s="2"/>
      <c r="B612" s="2"/>
      <c r="C612" s="2"/>
      <c r="D612" s="2"/>
      <c r="E612" s="2"/>
      <c r="F612" s="2"/>
      <c r="G612" s="2"/>
      <c r="H612" s="2"/>
      <c r="I612" s="2"/>
      <c r="J612" s="2"/>
      <c r="K612" s="2"/>
      <c r="L612" s="2"/>
    </row>
    <row r="613" ht="15.75" customHeight="1">
      <c r="A613" s="2"/>
      <c r="B613" s="2"/>
      <c r="C613" s="2"/>
      <c r="D613" s="2"/>
      <c r="E613" s="2"/>
      <c r="F613" s="2"/>
      <c r="G613" s="2"/>
      <c r="H613" s="2"/>
      <c r="I613" s="2"/>
      <c r="J613" s="2"/>
      <c r="K613" s="2"/>
      <c r="L613" s="2"/>
    </row>
    <row r="614" ht="15.75" customHeight="1">
      <c r="A614" s="2"/>
      <c r="B614" s="2"/>
      <c r="C614" s="2"/>
      <c r="D614" s="2"/>
      <c r="E614" s="2"/>
      <c r="F614" s="2"/>
      <c r="G614" s="2"/>
      <c r="H614" s="2"/>
      <c r="I614" s="2"/>
      <c r="J614" s="2"/>
      <c r="K614" s="2"/>
      <c r="L614" s="2"/>
    </row>
    <row r="615" ht="15.75" customHeight="1">
      <c r="A615" s="2"/>
      <c r="B615" s="2"/>
      <c r="C615" s="2"/>
      <c r="D615" s="2"/>
      <c r="E615" s="2"/>
      <c r="F615" s="2"/>
      <c r="G615" s="2"/>
      <c r="H615" s="2"/>
      <c r="I615" s="2"/>
      <c r="J615" s="2"/>
      <c r="K615" s="2"/>
      <c r="L615" s="2"/>
    </row>
    <row r="616" ht="15.75" customHeight="1">
      <c r="A616" s="2"/>
      <c r="B616" s="2"/>
      <c r="C616" s="2"/>
      <c r="D616" s="2"/>
      <c r="E616" s="2"/>
      <c r="F616" s="2"/>
      <c r="G616" s="2"/>
      <c r="H616" s="2"/>
      <c r="I616" s="2"/>
      <c r="J616" s="2"/>
      <c r="K616" s="2"/>
      <c r="L616" s="2"/>
    </row>
    <row r="617" ht="15.75" customHeight="1">
      <c r="A617" s="2"/>
      <c r="B617" s="2"/>
      <c r="C617" s="2"/>
      <c r="D617" s="2"/>
      <c r="E617" s="2"/>
      <c r="F617" s="2"/>
      <c r="G617" s="2"/>
      <c r="H617" s="2"/>
      <c r="I617" s="2"/>
      <c r="J617" s="2"/>
      <c r="K617" s="2"/>
      <c r="L617" s="2"/>
    </row>
    <row r="618" ht="15.75" customHeight="1">
      <c r="A618" s="2"/>
      <c r="B618" s="2"/>
      <c r="C618" s="2"/>
      <c r="D618" s="2"/>
      <c r="E618" s="2"/>
      <c r="F618" s="2"/>
      <c r="G618" s="2"/>
      <c r="H618" s="2"/>
      <c r="I618" s="2"/>
      <c r="J618" s="2"/>
      <c r="K618" s="2"/>
      <c r="L618" s="2"/>
    </row>
    <row r="619" ht="15.75" customHeight="1">
      <c r="A619" s="2"/>
      <c r="B619" s="2"/>
      <c r="C619" s="2"/>
      <c r="D619" s="2"/>
      <c r="E619" s="2"/>
      <c r="F619" s="2"/>
      <c r="G619" s="2"/>
      <c r="H619" s="2"/>
      <c r="I619" s="2"/>
      <c r="J619" s="2"/>
      <c r="K619" s="2"/>
      <c r="L619" s="2"/>
    </row>
    <row r="620" ht="15.75" customHeight="1">
      <c r="A620" s="2"/>
      <c r="B620" s="2"/>
      <c r="C620" s="2"/>
      <c r="D620" s="2"/>
      <c r="E620" s="2"/>
      <c r="F620" s="2"/>
      <c r="G620" s="2"/>
      <c r="H620" s="2"/>
      <c r="I620" s="2"/>
      <c r="J620" s="2"/>
      <c r="K620" s="2"/>
      <c r="L620" s="2"/>
    </row>
    <row r="621" ht="15.75" customHeight="1">
      <c r="A621" s="2"/>
      <c r="B621" s="2"/>
      <c r="C621" s="2"/>
      <c r="D621" s="2"/>
      <c r="E621" s="2"/>
      <c r="F621" s="2"/>
      <c r="G621" s="2"/>
      <c r="H621" s="2"/>
      <c r="I621" s="2"/>
      <c r="J621" s="2"/>
      <c r="K621" s="2"/>
      <c r="L621" s="2"/>
    </row>
    <row r="622" ht="15.75" customHeight="1">
      <c r="A622" s="2"/>
      <c r="B622" s="2"/>
      <c r="C622" s="2"/>
      <c r="D622" s="2"/>
      <c r="E622" s="2"/>
      <c r="F622" s="2"/>
      <c r="G622" s="2"/>
      <c r="H622" s="2"/>
      <c r="I622" s="2"/>
      <c r="J622" s="2"/>
      <c r="K622" s="2"/>
      <c r="L622" s="2"/>
    </row>
    <row r="623" ht="15.75" customHeight="1">
      <c r="A623" s="2"/>
      <c r="B623" s="2"/>
      <c r="C623" s="2"/>
      <c r="D623" s="2"/>
      <c r="E623" s="2"/>
      <c r="F623" s="2"/>
      <c r="G623" s="2"/>
      <c r="H623" s="2"/>
      <c r="I623" s="2"/>
      <c r="J623" s="2"/>
      <c r="K623" s="2"/>
      <c r="L623" s="2"/>
    </row>
    <row r="624" ht="15.75" customHeight="1">
      <c r="A624" s="2"/>
      <c r="B624" s="2"/>
      <c r="C624" s="2"/>
      <c r="D624" s="2"/>
      <c r="E624" s="2"/>
      <c r="F624" s="2"/>
      <c r="G624" s="2"/>
      <c r="H624" s="2"/>
      <c r="I624" s="2"/>
      <c r="J624" s="2"/>
      <c r="K624" s="2"/>
      <c r="L624" s="2"/>
    </row>
    <row r="625" ht="15.75" customHeight="1">
      <c r="A625" s="2"/>
      <c r="B625" s="2"/>
      <c r="C625" s="2"/>
      <c r="D625" s="2"/>
      <c r="E625" s="2"/>
      <c r="F625" s="2"/>
      <c r="G625" s="2"/>
      <c r="H625" s="2"/>
      <c r="I625" s="2"/>
      <c r="J625" s="2"/>
      <c r="K625" s="2"/>
      <c r="L625" s="2"/>
    </row>
    <row r="626" ht="15.75" customHeight="1">
      <c r="A626" s="2"/>
      <c r="B626" s="2"/>
      <c r="C626" s="2"/>
      <c r="D626" s="2"/>
      <c r="E626" s="2"/>
      <c r="F626" s="2"/>
      <c r="G626" s="2"/>
      <c r="H626" s="2"/>
      <c r="I626" s="2"/>
      <c r="J626" s="2"/>
      <c r="K626" s="2"/>
      <c r="L626" s="2"/>
    </row>
    <row r="627" ht="15.75" customHeight="1">
      <c r="A627" s="2"/>
      <c r="B627" s="2"/>
      <c r="C627" s="2"/>
      <c r="D627" s="2"/>
      <c r="E627" s="2"/>
      <c r="F627" s="2"/>
      <c r="G627" s="2"/>
      <c r="H627" s="2"/>
      <c r="I627" s="2"/>
      <c r="J627" s="2"/>
      <c r="K627" s="2"/>
      <c r="L627" s="2"/>
    </row>
    <row r="628" ht="15.75" customHeight="1">
      <c r="A628" s="2"/>
      <c r="B628" s="2"/>
      <c r="C628" s="2"/>
      <c r="D628" s="2"/>
      <c r="E628" s="2"/>
      <c r="F628" s="2"/>
      <c r="G628" s="2"/>
      <c r="H628" s="2"/>
      <c r="I628" s="2"/>
      <c r="J628" s="2"/>
      <c r="K628" s="2"/>
      <c r="L628" s="2"/>
    </row>
    <row r="629" ht="15.75" customHeight="1">
      <c r="A629" s="2"/>
      <c r="B629" s="2"/>
      <c r="C629" s="2"/>
      <c r="D629" s="2"/>
      <c r="E629" s="2"/>
      <c r="F629" s="2"/>
      <c r="G629" s="2"/>
      <c r="H629" s="2"/>
      <c r="I629" s="2"/>
      <c r="J629" s="2"/>
      <c r="K629" s="2"/>
      <c r="L629" s="2"/>
    </row>
    <row r="630" ht="15.75" customHeight="1">
      <c r="A630" s="2"/>
      <c r="B630" s="2"/>
      <c r="C630" s="2"/>
      <c r="D630" s="2"/>
      <c r="E630" s="2"/>
      <c r="F630" s="2"/>
      <c r="G630" s="2"/>
      <c r="H630" s="2"/>
      <c r="I630" s="2"/>
      <c r="J630" s="2"/>
      <c r="K630" s="2"/>
      <c r="L630" s="2"/>
    </row>
    <row r="631" ht="15.75" customHeight="1">
      <c r="A631" s="2"/>
      <c r="B631" s="2"/>
      <c r="C631" s="2"/>
      <c r="D631" s="2"/>
      <c r="E631" s="2"/>
      <c r="F631" s="2"/>
      <c r="G631" s="2"/>
      <c r="H631" s="2"/>
      <c r="I631" s="2"/>
      <c r="J631" s="2"/>
      <c r="K631" s="2"/>
      <c r="L631" s="2"/>
    </row>
    <row r="632" ht="15.75" customHeight="1">
      <c r="A632" s="2"/>
      <c r="B632" s="2"/>
      <c r="C632" s="2"/>
      <c r="D632" s="2"/>
      <c r="E632" s="2"/>
      <c r="F632" s="2"/>
      <c r="G632" s="2"/>
      <c r="H632" s="2"/>
      <c r="I632" s="2"/>
      <c r="J632" s="2"/>
      <c r="K632" s="2"/>
      <c r="L632" s="2"/>
    </row>
    <row r="633" ht="15.75" customHeight="1">
      <c r="A633" s="2"/>
      <c r="B633" s="2"/>
      <c r="C633" s="2"/>
      <c r="D633" s="2"/>
      <c r="E633" s="2"/>
      <c r="F633" s="2"/>
      <c r="G633" s="2"/>
      <c r="H633" s="2"/>
      <c r="I633" s="2"/>
      <c r="J633" s="2"/>
      <c r="K633" s="2"/>
      <c r="L633" s="2"/>
    </row>
    <row r="634" ht="15.75" customHeight="1">
      <c r="A634" s="2"/>
      <c r="B634" s="2"/>
      <c r="C634" s="2"/>
      <c r="D634" s="2"/>
      <c r="E634" s="2"/>
      <c r="F634" s="2"/>
      <c r="G634" s="2"/>
      <c r="H634" s="2"/>
      <c r="I634" s="2"/>
      <c r="J634" s="2"/>
      <c r="K634" s="2"/>
      <c r="L634" s="2"/>
    </row>
    <row r="635" ht="15.75" customHeight="1">
      <c r="A635" s="2"/>
      <c r="B635" s="2"/>
      <c r="C635" s="2"/>
      <c r="D635" s="2"/>
      <c r="E635" s="2"/>
      <c r="F635" s="2"/>
      <c r="G635" s="2"/>
      <c r="H635" s="2"/>
      <c r="I635" s="2"/>
      <c r="J635" s="2"/>
      <c r="K635" s="2"/>
      <c r="L635" s="2"/>
    </row>
    <row r="636" ht="15.75" customHeight="1">
      <c r="A636" s="2"/>
      <c r="B636" s="2"/>
      <c r="C636" s="2"/>
      <c r="D636" s="2"/>
      <c r="E636" s="2"/>
      <c r="F636" s="2"/>
      <c r="G636" s="2"/>
      <c r="H636" s="2"/>
      <c r="I636" s="2"/>
      <c r="J636" s="2"/>
      <c r="K636" s="2"/>
      <c r="L636" s="2"/>
    </row>
    <row r="637" ht="15.75" customHeight="1">
      <c r="A637" s="2"/>
      <c r="B637" s="2"/>
      <c r="C637" s="2"/>
      <c r="D637" s="2"/>
      <c r="E637" s="2"/>
      <c r="F637" s="2"/>
      <c r="G637" s="2"/>
      <c r="H637" s="2"/>
      <c r="I637" s="2"/>
      <c r="J637" s="2"/>
      <c r="K637" s="2"/>
      <c r="L637" s="2"/>
    </row>
    <row r="638" ht="15.75" customHeight="1">
      <c r="A638" s="2"/>
      <c r="B638" s="2"/>
      <c r="C638" s="2"/>
      <c r="D638" s="2"/>
      <c r="E638" s="2"/>
      <c r="F638" s="2"/>
      <c r="G638" s="2"/>
      <c r="H638" s="2"/>
      <c r="I638" s="2"/>
      <c r="J638" s="2"/>
      <c r="K638" s="2"/>
      <c r="L638" s="2"/>
    </row>
    <row r="639" ht="15.75" customHeight="1">
      <c r="A639" s="2"/>
      <c r="B639" s="2"/>
      <c r="C639" s="2"/>
      <c r="D639" s="2"/>
      <c r="E639" s="2"/>
      <c r="F639" s="2"/>
      <c r="G639" s="2"/>
      <c r="H639" s="2"/>
      <c r="I639" s="2"/>
      <c r="J639" s="2"/>
      <c r="K639" s="2"/>
      <c r="L639" s="2"/>
    </row>
    <row r="640" ht="15.75" customHeight="1">
      <c r="A640" s="2"/>
      <c r="B640" s="2"/>
      <c r="C640" s="2"/>
      <c r="D640" s="2"/>
      <c r="E640" s="2"/>
      <c r="F640" s="2"/>
      <c r="G640" s="2"/>
      <c r="H640" s="2"/>
      <c r="I640" s="2"/>
      <c r="J640" s="2"/>
      <c r="K640" s="2"/>
      <c r="L640" s="2"/>
    </row>
    <row r="641" ht="15.75" customHeight="1">
      <c r="A641" s="2"/>
      <c r="B641" s="2"/>
      <c r="C641" s="2"/>
      <c r="D641" s="2"/>
      <c r="E641" s="2"/>
      <c r="F641" s="2"/>
      <c r="G641" s="2"/>
      <c r="H641" s="2"/>
      <c r="I641" s="2"/>
      <c r="J641" s="2"/>
      <c r="K641" s="2"/>
      <c r="L641" s="2"/>
    </row>
    <row r="642" ht="15.75" customHeight="1">
      <c r="A642" s="2"/>
      <c r="B642" s="2"/>
      <c r="C642" s="2"/>
      <c r="D642" s="2"/>
      <c r="E642" s="2"/>
      <c r="F642" s="2"/>
      <c r="G642" s="2"/>
      <c r="H642" s="2"/>
      <c r="I642" s="2"/>
      <c r="J642" s="2"/>
      <c r="K642" s="2"/>
      <c r="L642" s="2"/>
    </row>
    <row r="643" ht="15.75" customHeight="1">
      <c r="A643" s="2"/>
      <c r="B643" s="2"/>
      <c r="C643" s="2"/>
      <c r="D643" s="2"/>
      <c r="E643" s="2"/>
      <c r="F643" s="2"/>
      <c r="G643" s="2"/>
      <c r="H643" s="2"/>
      <c r="I643" s="2"/>
      <c r="J643" s="2"/>
      <c r="K643" s="2"/>
      <c r="L643" s="2"/>
    </row>
    <row r="644" ht="15.75" customHeight="1">
      <c r="A644" s="2"/>
      <c r="B644" s="2"/>
      <c r="C644" s="2"/>
      <c r="D644" s="2"/>
      <c r="E644" s="2"/>
      <c r="F644" s="2"/>
      <c r="G644" s="2"/>
      <c r="H644" s="2"/>
      <c r="I644" s="2"/>
      <c r="J644" s="2"/>
      <c r="K644" s="2"/>
      <c r="L644" s="2"/>
    </row>
    <row r="645" ht="15.75" customHeight="1">
      <c r="A645" s="2"/>
      <c r="B645" s="2"/>
      <c r="C645" s="2"/>
      <c r="D645" s="2"/>
      <c r="E645" s="2"/>
      <c r="F645" s="2"/>
      <c r="G645" s="2"/>
      <c r="H645" s="2"/>
      <c r="I645" s="2"/>
      <c r="J645" s="2"/>
      <c r="K645" s="2"/>
      <c r="L645" s="2"/>
    </row>
    <row r="646" ht="15.75" customHeight="1">
      <c r="A646" s="2"/>
      <c r="B646" s="2"/>
      <c r="C646" s="2"/>
      <c r="D646" s="2"/>
      <c r="E646" s="2"/>
      <c r="F646" s="2"/>
      <c r="G646" s="2"/>
      <c r="H646" s="2"/>
      <c r="I646" s="2"/>
      <c r="J646" s="2"/>
      <c r="K646" s="2"/>
      <c r="L646" s="2"/>
    </row>
    <row r="647" ht="15.75" customHeight="1">
      <c r="A647" s="2"/>
      <c r="B647" s="2"/>
      <c r="C647" s="2"/>
      <c r="D647" s="2"/>
      <c r="E647" s="2"/>
      <c r="F647" s="2"/>
      <c r="G647" s="2"/>
      <c r="H647" s="2"/>
      <c r="I647" s="2"/>
      <c r="J647" s="2"/>
      <c r="K647" s="2"/>
      <c r="L647" s="2"/>
    </row>
    <row r="648" ht="15.75" customHeight="1">
      <c r="A648" s="2"/>
      <c r="B648" s="2"/>
      <c r="C648" s="2"/>
      <c r="D648" s="2"/>
      <c r="E648" s="2"/>
      <c r="F648" s="2"/>
      <c r="G648" s="2"/>
      <c r="H648" s="2"/>
      <c r="I648" s="2"/>
      <c r="J648" s="2"/>
      <c r="K648" s="2"/>
      <c r="L648" s="2"/>
    </row>
    <row r="649" ht="15.75" customHeight="1">
      <c r="A649" s="2"/>
      <c r="B649" s="2"/>
      <c r="C649" s="2"/>
      <c r="D649" s="2"/>
      <c r="E649" s="2"/>
      <c r="F649" s="2"/>
      <c r="G649" s="2"/>
      <c r="H649" s="2"/>
      <c r="I649" s="2"/>
      <c r="J649" s="2"/>
      <c r="K649" s="2"/>
      <c r="L649" s="2"/>
    </row>
    <row r="650" ht="15.75" customHeight="1">
      <c r="A650" s="2"/>
      <c r="B650" s="2"/>
      <c r="C650" s="2"/>
      <c r="D650" s="2"/>
      <c r="E650" s="2"/>
      <c r="F650" s="2"/>
      <c r="G650" s="2"/>
      <c r="H650" s="2"/>
      <c r="I650" s="2"/>
      <c r="J650" s="2"/>
      <c r="K650" s="2"/>
      <c r="L650" s="2"/>
    </row>
    <row r="651" ht="15.75" customHeight="1">
      <c r="A651" s="2"/>
      <c r="B651" s="2"/>
      <c r="C651" s="2"/>
      <c r="D651" s="2"/>
      <c r="E651" s="2"/>
      <c r="F651" s="2"/>
      <c r="G651" s="2"/>
      <c r="H651" s="2"/>
      <c r="I651" s="2"/>
      <c r="J651" s="2"/>
      <c r="K651" s="2"/>
      <c r="L651" s="2"/>
    </row>
    <row r="652" ht="15.75" customHeight="1">
      <c r="A652" s="2"/>
      <c r="B652" s="2"/>
      <c r="C652" s="2"/>
      <c r="D652" s="2"/>
      <c r="E652" s="2"/>
      <c r="F652" s="2"/>
      <c r="G652" s="2"/>
      <c r="H652" s="2"/>
      <c r="I652" s="2"/>
      <c r="J652" s="2"/>
      <c r="K652" s="2"/>
      <c r="L652" s="2"/>
    </row>
    <row r="653" ht="15.75" customHeight="1">
      <c r="A653" s="2"/>
      <c r="B653" s="2"/>
      <c r="C653" s="2"/>
      <c r="D653" s="2"/>
      <c r="E653" s="2"/>
      <c r="F653" s="2"/>
      <c r="G653" s="2"/>
      <c r="H653" s="2"/>
      <c r="I653" s="2"/>
      <c r="J653" s="2"/>
      <c r="K653" s="2"/>
      <c r="L653" s="2"/>
    </row>
    <row r="654" ht="15.75" customHeight="1">
      <c r="A654" s="2"/>
      <c r="B654" s="2"/>
      <c r="C654" s="2"/>
      <c r="D654" s="2"/>
      <c r="E654" s="2"/>
      <c r="F654" s="2"/>
      <c r="G654" s="2"/>
      <c r="H654" s="2"/>
      <c r="I654" s="2"/>
      <c r="J654" s="2"/>
      <c r="K654" s="2"/>
      <c r="L654" s="2"/>
    </row>
    <row r="655" ht="15.75" customHeight="1">
      <c r="A655" s="2"/>
      <c r="B655" s="2"/>
      <c r="C655" s="2"/>
      <c r="D655" s="2"/>
      <c r="E655" s="2"/>
      <c r="F655" s="2"/>
      <c r="G655" s="2"/>
      <c r="H655" s="2"/>
      <c r="I655" s="2"/>
      <c r="J655" s="2"/>
      <c r="K655" s="2"/>
      <c r="L655" s="2"/>
    </row>
    <row r="656" ht="15.75" customHeight="1">
      <c r="A656" s="2"/>
      <c r="B656" s="2"/>
      <c r="C656" s="2"/>
      <c r="D656" s="2"/>
      <c r="E656" s="2"/>
      <c r="F656" s="2"/>
      <c r="G656" s="2"/>
      <c r="H656" s="2"/>
      <c r="I656" s="2"/>
      <c r="J656" s="2"/>
      <c r="K656" s="2"/>
      <c r="L656" s="2"/>
    </row>
    <row r="657" ht="15.75" customHeight="1">
      <c r="A657" s="2"/>
      <c r="B657" s="2"/>
      <c r="C657" s="2"/>
      <c r="D657" s="2"/>
      <c r="E657" s="2"/>
      <c r="F657" s="2"/>
      <c r="G657" s="2"/>
      <c r="H657" s="2"/>
      <c r="I657" s="2"/>
      <c r="J657" s="2"/>
      <c r="K657" s="2"/>
      <c r="L657" s="2"/>
    </row>
    <row r="658" ht="15.75" customHeight="1">
      <c r="A658" s="2"/>
      <c r="B658" s="2"/>
      <c r="C658" s="2"/>
      <c r="D658" s="2"/>
      <c r="E658" s="2"/>
      <c r="F658" s="2"/>
      <c r="G658" s="2"/>
      <c r="H658" s="2"/>
      <c r="I658" s="2"/>
      <c r="J658" s="2"/>
      <c r="K658" s="2"/>
      <c r="L658" s="2"/>
    </row>
    <row r="659" ht="15.75" customHeight="1">
      <c r="A659" s="2"/>
      <c r="B659" s="2"/>
      <c r="C659" s="2"/>
      <c r="D659" s="2"/>
      <c r="E659" s="2"/>
      <c r="F659" s="2"/>
      <c r="G659" s="2"/>
      <c r="H659" s="2"/>
      <c r="I659" s="2"/>
      <c r="J659" s="2"/>
      <c r="K659" s="2"/>
      <c r="L659" s="2"/>
    </row>
    <row r="660" ht="15.75" customHeight="1">
      <c r="A660" s="2"/>
      <c r="B660" s="2"/>
      <c r="C660" s="2"/>
      <c r="D660" s="2"/>
      <c r="E660" s="2"/>
      <c r="F660" s="2"/>
      <c r="G660" s="2"/>
      <c r="H660" s="2"/>
      <c r="I660" s="2"/>
      <c r="J660" s="2"/>
      <c r="K660" s="2"/>
      <c r="L660" s="2"/>
    </row>
    <row r="661" ht="15.75" customHeight="1">
      <c r="A661" s="2"/>
      <c r="B661" s="2"/>
      <c r="C661" s="2"/>
      <c r="D661" s="2"/>
      <c r="E661" s="2"/>
      <c r="F661" s="2"/>
      <c r="G661" s="2"/>
      <c r="H661" s="2"/>
      <c r="I661" s="2"/>
      <c r="J661" s="2"/>
      <c r="K661" s="2"/>
      <c r="L661" s="2"/>
    </row>
    <row r="662" ht="15.75" customHeight="1">
      <c r="A662" s="2"/>
      <c r="B662" s="2"/>
      <c r="C662" s="2"/>
      <c r="D662" s="2"/>
      <c r="E662" s="2"/>
      <c r="F662" s="2"/>
      <c r="G662" s="2"/>
      <c r="H662" s="2"/>
      <c r="I662" s="2"/>
      <c r="J662" s="2"/>
      <c r="K662" s="2"/>
      <c r="L662" s="2"/>
    </row>
    <row r="663" ht="15.75" customHeight="1">
      <c r="A663" s="2"/>
      <c r="B663" s="2"/>
      <c r="C663" s="2"/>
      <c r="D663" s="2"/>
      <c r="E663" s="2"/>
      <c r="F663" s="2"/>
      <c r="G663" s="2"/>
      <c r="H663" s="2"/>
      <c r="I663" s="2"/>
      <c r="J663" s="2"/>
      <c r="K663" s="2"/>
      <c r="L663" s="2"/>
    </row>
    <row r="664" ht="15.75" customHeight="1">
      <c r="A664" s="2"/>
      <c r="B664" s="2"/>
      <c r="C664" s="2"/>
      <c r="D664" s="2"/>
      <c r="E664" s="2"/>
      <c r="F664" s="2"/>
      <c r="G664" s="2"/>
      <c r="H664" s="2"/>
      <c r="I664" s="2"/>
      <c r="J664" s="2"/>
      <c r="K664" s="2"/>
      <c r="L664" s="2"/>
    </row>
    <row r="665" ht="15.75" customHeight="1">
      <c r="A665" s="2"/>
      <c r="B665" s="2"/>
      <c r="C665" s="2"/>
      <c r="D665" s="2"/>
      <c r="E665" s="2"/>
      <c r="F665" s="2"/>
      <c r="G665" s="2"/>
      <c r="H665" s="2"/>
      <c r="I665" s="2"/>
      <c r="J665" s="2"/>
      <c r="K665" s="2"/>
      <c r="L665" s="2"/>
    </row>
    <row r="666" ht="15.75" customHeight="1">
      <c r="A666" s="2"/>
      <c r="B666" s="2"/>
      <c r="C666" s="2"/>
      <c r="D666" s="2"/>
      <c r="E666" s="2"/>
      <c r="F666" s="2"/>
      <c r="G666" s="2"/>
      <c r="H666" s="2"/>
      <c r="I666" s="2"/>
      <c r="J666" s="2"/>
      <c r="K666" s="2"/>
      <c r="L666" s="2"/>
    </row>
    <row r="667" ht="15.75" customHeight="1">
      <c r="A667" s="2"/>
      <c r="B667" s="2"/>
      <c r="C667" s="2"/>
      <c r="D667" s="2"/>
      <c r="E667" s="2"/>
      <c r="F667" s="2"/>
      <c r="G667" s="2"/>
      <c r="H667" s="2"/>
      <c r="I667" s="2"/>
      <c r="J667" s="2"/>
      <c r="K667" s="2"/>
      <c r="L667" s="2"/>
    </row>
    <row r="668" ht="15.75" customHeight="1">
      <c r="A668" s="2"/>
      <c r="B668" s="2"/>
      <c r="C668" s="2"/>
      <c r="D668" s="2"/>
      <c r="E668" s="2"/>
      <c r="F668" s="2"/>
      <c r="G668" s="2"/>
      <c r="H668" s="2"/>
      <c r="I668" s="2"/>
      <c r="J668" s="2"/>
      <c r="K668" s="2"/>
      <c r="L668" s="2"/>
    </row>
    <row r="669" ht="15.75" customHeight="1">
      <c r="A669" s="2"/>
      <c r="B669" s="2"/>
      <c r="C669" s="2"/>
      <c r="D669" s="2"/>
      <c r="E669" s="2"/>
      <c r="F669" s="2"/>
      <c r="G669" s="2"/>
      <c r="H669" s="2"/>
      <c r="I669" s="2"/>
      <c r="J669" s="2"/>
      <c r="K669" s="2"/>
      <c r="L669" s="2"/>
    </row>
    <row r="670" ht="15.75" customHeight="1">
      <c r="A670" s="2"/>
      <c r="B670" s="2"/>
      <c r="C670" s="2"/>
      <c r="D670" s="2"/>
      <c r="E670" s="2"/>
      <c r="F670" s="2"/>
      <c r="G670" s="2"/>
      <c r="H670" s="2"/>
      <c r="I670" s="2"/>
      <c r="J670" s="2"/>
      <c r="K670" s="2"/>
      <c r="L670" s="2"/>
    </row>
    <row r="671" ht="15.75" customHeight="1">
      <c r="A671" s="2"/>
      <c r="B671" s="2"/>
      <c r="C671" s="2"/>
      <c r="D671" s="2"/>
      <c r="E671" s="2"/>
      <c r="F671" s="2"/>
      <c r="G671" s="2"/>
      <c r="H671" s="2"/>
      <c r="I671" s="2"/>
      <c r="J671" s="2"/>
      <c r="K671" s="2"/>
      <c r="L671" s="2"/>
    </row>
    <row r="672" ht="15.75" customHeight="1">
      <c r="A672" s="2"/>
      <c r="B672" s="2"/>
      <c r="C672" s="2"/>
      <c r="D672" s="2"/>
      <c r="E672" s="2"/>
      <c r="F672" s="2"/>
      <c r="G672" s="2"/>
      <c r="H672" s="2"/>
      <c r="I672" s="2"/>
      <c r="J672" s="2"/>
      <c r="K672" s="2"/>
      <c r="L672" s="2"/>
    </row>
    <row r="673" ht="15.75" customHeight="1">
      <c r="A673" s="2"/>
      <c r="B673" s="2"/>
      <c r="C673" s="2"/>
      <c r="D673" s="2"/>
      <c r="E673" s="2"/>
      <c r="F673" s="2"/>
      <c r="G673" s="2"/>
      <c r="H673" s="2"/>
      <c r="I673" s="2"/>
      <c r="J673" s="2"/>
      <c r="K673" s="2"/>
      <c r="L673" s="2"/>
    </row>
    <row r="674" ht="15.75" customHeight="1">
      <c r="A674" s="2"/>
      <c r="B674" s="2"/>
      <c r="C674" s="2"/>
      <c r="D674" s="2"/>
      <c r="E674" s="2"/>
      <c r="F674" s="2"/>
      <c r="G674" s="2"/>
      <c r="H674" s="2"/>
      <c r="I674" s="2"/>
      <c r="J674" s="2"/>
      <c r="K674" s="2"/>
      <c r="L674" s="2"/>
    </row>
    <row r="675" ht="15.75" customHeight="1">
      <c r="A675" s="2"/>
      <c r="B675" s="2"/>
      <c r="C675" s="2"/>
      <c r="D675" s="2"/>
      <c r="E675" s="2"/>
      <c r="F675" s="2"/>
      <c r="G675" s="2"/>
      <c r="H675" s="2"/>
      <c r="I675" s="2"/>
      <c r="J675" s="2"/>
      <c r="K675" s="2"/>
      <c r="L675" s="2"/>
    </row>
    <row r="676" ht="15.75" customHeight="1">
      <c r="A676" s="2"/>
      <c r="B676" s="2"/>
      <c r="C676" s="2"/>
      <c r="D676" s="2"/>
      <c r="E676" s="2"/>
      <c r="F676" s="2"/>
      <c r="G676" s="2"/>
      <c r="H676" s="2"/>
      <c r="I676" s="2"/>
      <c r="J676" s="2"/>
      <c r="K676" s="2"/>
      <c r="L676" s="2"/>
    </row>
    <row r="677" ht="15.75" customHeight="1">
      <c r="A677" s="2"/>
      <c r="B677" s="2"/>
      <c r="C677" s="2"/>
      <c r="D677" s="2"/>
      <c r="E677" s="2"/>
      <c r="F677" s="2"/>
      <c r="G677" s="2"/>
      <c r="H677" s="2"/>
      <c r="I677" s="2"/>
      <c r="J677" s="2"/>
      <c r="K677" s="2"/>
      <c r="L677" s="2"/>
    </row>
    <row r="678" ht="15.75" customHeight="1">
      <c r="A678" s="2"/>
      <c r="B678" s="2"/>
      <c r="C678" s="2"/>
      <c r="D678" s="2"/>
      <c r="E678" s="2"/>
      <c r="F678" s="2"/>
      <c r="G678" s="2"/>
      <c r="H678" s="2"/>
      <c r="I678" s="2"/>
      <c r="J678" s="2"/>
      <c r="K678" s="2"/>
      <c r="L678" s="2"/>
    </row>
    <row r="679" ht="15.75" customHeight="1">
      <c r="A679" s="2"/>
      <c r="B679" s="2"/>
      <c r="C679" s="2"/>
      <c r="D679" s="2"/>
      <c r="E679" s="2"/>
      <c r="F679" s="2"/>
      <c r="G679" s="2"/>
      <c r="H679" s="2"/>
      <c r="I679" s="2"/>
      <c r="J679" s="2"/>
      <c r="K679" s="2"/>
      <c r="L679" s="2"/>
    </row>
    <row r="680" ht="15.75" customHeight="1">
      <c r="A680" s="2"/>
      <c r="B680" s="2"/>
      <c r="C680" s="2"/>
      <c r="D680" s="2"/>
      <c r="E680" s="2"/>
      <c r="F680" s="2"/>
      <c r="G680" s="2"/>
      <c r="H680" s="2"/>
      <c r="I680" s="2"/>
      <c r="J680" s="2"/>
      <c r="K680" s="2"/>
      <c r="L680" s="2"/>
    </row>
    <row r="681" ht="15.75" customHeight="1">
      <c r="A681" s="2"/>
      <c r="B681" s="2"/>
      <c r="C681" s="2"/>
      <c r="D681" s="2"/>
      <c r="E681" s="2"/>
      <c r="F681" s="2"/>
      <c r="G681" s="2"/>
      <c r="H681" s="2"/>
      <c r="I681" s="2"/>
      <c r="J681" s="2"/>
      <c r="K681" s="2"/>
      <c r="L681" s="2"/>
    </row>
    <row r="682" ht="15.75" customHeight="1">
      <c r="A682" s="2"/>
      <c r="B682" s="2"/>
      <c r="C682" s="2"/>
      <c r="D682" s="2"/>
      <c r="E682" s="2"/>
      <c r="F682" s="2"/>
      <c r="G682" s="2"/>
      <c r="H682" s="2"/>
      <c r="I682" s="2"/>
      <c r="J682" s="2"/>
      <c r="K682" s="2"/>
      <c r="L682" s="2"/>
    </row>
    <row r="683" ht="15.75" customHeight="1">
      <c r="A683" s="2"/>
      <c r="B683" s="2"/>
      <c r="C683" s="2"/>
      <c r="D683" s="2"/>
      <c r="E683" s="2"/>
      <c r="F683" s="2"/>
      <c r="G683" s="2"/>
      <c r="H683" s="2"/>
      <c r="I683" s="2"/>
      <c r="J683" s="2"/>
      <c r="K683" s="2"/>
      <c r="L683" s="2"/>
    </row>
    <row r="684" ht="15.75" customHeight="1">
      <c r="A684" s="2"/>
      <c r="B684" s="2"/>
      <c r="C684" s="2"/>
      <c r="D684" s="2"/>
      <c r="E684" s="2"/>
      <c r="F684" s="2"/>
      <c r="G684" s="2"/>
      <c r="H684" s="2"/>
      <c r="I684" s="2"/>
      <c r="J684" s="2"/>
      <c r="K684" s="2"/>
      <c r="L684" s="2"/>
    </row>
    <row r="685" ht="15.75" customHeight="1">
      <c r="A685" s="2"/>
      <c r="B685" s="2"/>
      <c r="C685" s="2"/>
      <c r="D685" s="2"/>
      <c r="E685" s="2"/>
      <c r="F685" s="2"/>
      <c r="G685" s="2"/>
      <c r="H685" s="2"/>
      <c r="I685" s="2"/>
      <c r="J685" s="2"/>
      <c r="K685" s="2"/>
      <c r="L685" s="2"/>
    </row>
    <row r="686" ht="15.75" customHeight="1">
      <c r="A686" s="2"/>
      <c r="B686" s="2"/>
      <c r="C686" s="2"/>
      <c r="D686" s="2"/>
      <c r="E686" s="2"/>
      <c r="F686" s="2"/>
      <c r="G686" s="2"/>
      <c r="H686" s="2"/>
      <c r="I686" s="2"/>
      <c r="J686" s="2"/>
      <c r="K686" s="2"/>
      <c r="L686" s="2"/>
    </row>
    <row r="687" ht="15.75" customHeight="1">
      <c r="A687" s="2"/>
      <c r="B687" s="2"/>
      <c r="C687" s="2"/>
      <c r="D687" s="2"/>
      <c r="E687" s="2"/>
      <c r="F687" s="2"/>
      <c r="G687" s="2"/>
      <c r="H687" s="2"/>
      <c r="I687" s="2"/>
      <c r="J687" s="2"/>
      <c r="K687" s="2"/>
      <c r="L687" s="2"/>
    </row>
    <row r="688" ht="15.75" customHeight="1">
      <c r="A688" s="2"/>
      <c r="B688" s="2"/>
      <c r="C688" s="2"/>
      <c r="D688" s="2"/>
      <c r="E688" s="2"/>
      <c r="F688" s="2"/>
      <c r="G688" s="2"/>
      <c r="H688" s="2"/>
      <c r="I688" s="2"/>
      <c r="J688" s="2"/>
      <c r="K688" s="2"/>
      <c r="L688" s="2"/>
    </row>
    <row r="689" ht="15.75" customHeight="1">
      <c r="A689" s="2"/>
      <c r="B689" s="2"/>
      <c r="C689" s="2"/>
      <c r="D689" s="2"/>
      <c r="E689" s="2"/>
      <c r="F689" s="2"/>
      <c r="G689" s="2"/>
      <c r="H689" s="2"/>
      <c r="I689" s="2"/>
      <c r="J689" s="2"/>
      <c r="K689" s="2"/>
      <c r="L689" s="2"/>
    </row>
    <row r="690" ht="15.75" customHeight="1">
      <c r="A690" s="2"/>
      <c r="B690" s="2"/>
      <c r="C690" s="2"/>
      <c r="D690" s="2"/>
      <c r="E690" s="2"/>
      <c r="F690" s="2"/>
      <c r="G690" s="2"/>
      <c r="H690" s="2"/>
      <c r="I690" s="2"/>
      <c r="J690" s="2"/>
      <c r="K690" s="2"/>
      <c r="L690" s="2"/>
    </row>
    <row r="691" ht="15.75" customHeight="1">
      <c r="A691" s="2"/>
      <c r="B691" s="2"/>
      <c r="C691" s="2"/>
      <c r="D691" s="2"/>
      <c r="E691" s="2"/>
      <c r="F691" s="2"/>
      <c r="G691" s="2"/>
      <c r="H691" s="2"/>
      <c r="I691" s="2"/>
      <c r="J691" s="2"/>
      <c r="K691" s="2"/>
      <c r="L691" s="2"/>
    </row>
    <row r="692" ht="15.75" customHeight="1">
      <c r="A692" s="2"/>
      <c r="B692" s="2"/>
      <c r="C692" s="2"/>
      <c r="D692" s="2"/>
      <c r="E692" s="2"/>
      <c r="F692" s="2"/>
      <c r="G692" s="2"/>
      <c r="H692" s="2"/>
      <c r="I692" s="2"/>
      <c r="J692" s="2"/>
      <c r="K692" s="2"/>
      <c r="L692" s="2"/>
    </row>
    <row r="693" ht="15.75" customHeight="1">
      <c r="A693" s="2"/>
      <c r="B693" s="2"/>
      <c r="C693" s="2"/>
      <c r="D693" s="2"/>
      <c r="E693" s="2"/>
      <c r="F693" s="2"/>
      <c r="G693" s="2"/>
      <c r="H693" s="2"/>
      <c r="I693" s="2"/>
      <c r="J693" s="2"/>
      <c r="K693" s="2"/>
      <c r="L693" s="2"/>
    </row>
    <row r="694" ht="15.75" customHeight="1">
      <c r="A694" s="2"/>
      <c r="B694" s="2"/>
      <c r="C694" s="2"/>
      <c r="D694" s="2"/>
      <c r="E694" s="2"/>
      <c r="F694" s="2"/>
      <c r="G694" s="2"/>
      <c r="H694" s="2"/>
      <c r="I694" s="2"/>
      <c r="J694" s="2"/>
      <c r="K694" s="2"/>
      <c r="L694" s="2"/>
    </row>
    <row r="695" ht="15.75" customHeight="1">
      <c r="A695" s="2"/>
      <c r="B695" s="2"/>
      <c r="C695" s="2"/>
      <c r="D695" s="2"/>
      <c r="E695" s="2"/>
      <c r="F695" s="2"/>
      <c r="G695" s="2"/>
      <c r="H695" s="2"/>
      <c r="I695" s="2"/>
      <c r="J695" s="2"/>
      <c r="K695" s="2"/>
      <c r="L695" s="2"/>
    </row>
    <row r="696" ht="15.75" customHeight="1">
      <c r="A696" s="2"/>
      <c r="B696" s="2"/>
      <c r="C696" s="2"/>
      <c r="D696" s="2"/>
      <c r="E696" s="2"/>
      <c r="F696" s="2"/>
      <c r="G696" s="2"/>
      <c r="H696" s="2"/>
      <c r="I696" s="2"/>
      <c r="J696" s="2"/>
      <c r="K696" s="2"/>
      <c r="L696" s="2"/>
    </row>
    <row r="697" ht="15.75" customHeight="1">
      <c r="A697" s="2"/>
      <c r="B697" s="2"/>
      <c r="C697" s="2"/>
      <c r="D697" s="2"/>
      <c r="E697" s="2"/>
      <c r="F697" s="2"/>
      <c r="G697" s="2"/>
      <c r="H697" s="2"/>
      <c r="I697" s="2"/>
      <c r="J697" s="2"/>
      <c r="K697" s="2"/>
      <c r="L697" s="2"/>
    </row>
    <row r="698" ht="15.75" customHeight="1">
      <c r="A698" s="2"/>
      <c r="B698" s="2"/>
      <c r="C698" s="2"/>
      <c r="D698" s="2"/>
      <c r="E698" s="2"/>
      <c r="F698" s="2"/>
      <c r="G698" s="2"/>
      <c r="H698" s="2"/>
      <c r="I698" s="2"/>
      <c r="J698" s="2"/>
      <c r="K698" s="2"/>
      <c r="L698" s="2"/>
    </row>
    <row r="699" ht="15.75" customHeight="1">
      <c r="A699" s="2"/>
      <c r="B699" s="2"/>
      <c r="C699" s="2"/>
      <c r="D699" s="2"/>
      <c r="E699" s="2"/>
      <c r="F699" s="2"/>
      <c r="G699" s="2"/>
      <c r="H699" s="2"/>
      <c r="I699" s="2"/>
      <c r="J699" s="2"/>
      <c r="K699" s="2"/>
      <c r="L699" s="2"/>
    </row>
    <row r="700" ht="15.75" customHeight="1">
      <c r="A700" s="2"/>
      <c r="B700" s="2"/>
      <c r="C700" s="2"/>
      <c r="D700" s="2"/>
      <c r="E700" s="2"/>
      <c r="F700" s="2"/>
      <c r="G700" s="2"/>
      <c r="H700" s="2"/>
      <c r="I700" s="2"/>
      <c r="J700" s="2"/>
      <c r="K700" s="2"/>
      <c r="L700" s="2"/>
    </row>
    <row r="701" ht="15.75" customHeight="1">
      <c r="A701" s="2"/>
      <c r="B701" s="2"/>
      <c r="C701" s="2"/>
      <c r="D701" s="2"/>
      <c r="E701" s="2"/>
      <c r="F701" s="2"/>
      <c r="G701" s="2"/>
      <c r="H701" s="2"/>
      <c r="I701" s="2"/>
      <c r="J701" s="2"/>
      <c r="K701" s="2"/>
      <c r="L701" s="2"/>
    </row>
    <row r="702" ht="15.75" customHeight="1">
      <c r="A702" s="2"/>
      <c r="B702" s="2"/>
      <c r="C702" s="2"/>
      <c r="D702" s="2"/>
      <c r="E702" s="2"/>
      <c r="F702" s="2"/>
      <c r="G702" s="2"/>
      <c r="H702" s="2"/>
      <c r="I702" s="2"/>
      <c r="J702" s="2"/>
      <c r="K702" s="2"/>
      <c r="L702" s="2"/>
    </row>
    <row r="703" ht="15.75" customHeight="1">
      <c r="A703" s="2"/>
      <c r="B703" s="2"/>
      <c r="C703" s="2"/>
      <c r="D703" s="2"/>
      <c r="E703" s="2"/>
      <c r="F703" s="2"/>
      <c r="G703" s="2"/>
      <c r="H703" s="2"/>
      <c r="I703" s="2"/>
      <c r="J703" s="2"/>
      <c r="K703" s="2"/>
      <c r="L703" s="2"/>
    </row>
    <row r="704" ht="15.75" customHeight="1">
      <c r="A704" s="2"/>
      <c r="B704" s="2"/>
      <c r="C704" s="2"/>
      <c r="D704" s="2"/>
      <c r="E704" s="2"/>
      <c r="F704" s="2"/>
      <c r="G704" s="2"/>
      <c r="H704" s="2"/>
      <c r="I704" s="2"/>
      <c r="J704" s="2"/>
      <c r="K704" s="2"/>
      <c r="L704" s="2"/>
    </row>
    <row r="705" ht="15.75" customHeight="1">
      <c r="A705" s="2"/>
      <c r="B705" s="2"/>
      <c r="C705" s="2"/>
      <c r="D705" s="2"/>
      <c r="E705" s="2"/>
      <c r="F705" s="2"/>
      <c r="G705" s="2"/>
      <c r="H705" s="2"/>
      <c r="I705" s="2"/>
      <c r="J705" s="2"/>
      <c r="K705" s="2"/>
      <c r="L705" s="2"/>
    </row>
    <row r="706" ht="15.75" customHeight="1">
      <c r="A706" s="2"/>
      <c r="B706" s="2"/>
      <c r="C706" s="2"/>
      <c r="D706" s="2"/>
      <c r="E706" s="2"/>
      <c r="F706" s="2"/>
      <c r="G706" s="2"/>
      <c r="H706" s="2"/>
      <c r="I706" s="2"/>
      <c r="J706" s="2"/>
      <c r="K706" s="2"/>
      <c r="L706" s="2"/>
    </row>
    <row r="707" ht="15.75" customHeight="1">
      <c r="A707" s="2"/>
      <c r="B707" s="2"/>
      <c r="C707" s="2"/>
      <c r="D707" s="2"/>
      <c r="E707" s="2"/>
      <c r="F707" s="2"/>
      <c r="G707" s="2"/>
      <c r="H707" s="2"/>
      <c r="I707" s="2"/>
      <c r="J707" s="2"/>
      <c r="K707" s="2"/>
      <c r="L707" s="2"/>
    </row>
    <row r="708" ht="15.75" customHeight="1">
      <c r="A708" s="2"/>
      <c r="B708" s="2"/>
      <c r="C708" s="2"/>
      <c r="D708" s="2"/>
      <c r="E708" s="2"/>
      <c r="F708" s="2"/>
      <c r="G708" s="2"/>
      <c r="H708" s="2"/>
      <c r="I708" s="2"/>
      <c r="J708" s="2"/>
      <c r="K708" s="2"/>
      <c r="L708" s="2"/>
    </row>
    <row r="709" ht="15.75" customHeight="1">
      <c r="A709" s="2"/>
      <c r="B709" s="2"/>
      <c r="C709" s="2"/>
      <c r="D709" s="2"/>
      <c r="E709" s="2"/>
      <c r="F709" s="2"/>
      <c r="G709" s="2"/>
      <c r="H709" s="2"/>
      <c r="I709" s="2"/>
      <c r="J709" s="2"/>
      <c r="K709" s="2"/>
      <c r="L709" s="2"/>
    </row>
    <row r="710" ht="15.75" customHeight="1">
      <c r="A710" s="2"/>
      <c r="B710" s="2"/>
      <c r="C710" s="2"/>
      <c r="D710" s="2"/>
      <c r="E710" s="2"/>
      <c r="F710" s="2"/>
      <c r="G710" s="2"/>
      <c r="H710" s="2"/>
      <c r="I710" s="2"/>
      <c r="J710" s="2"/>
      <c r="K710" s="2"/>
      <c r="L710" s="2"/>
    </row>
    <row r="711" ht="15.75" customHeight="1">
      <c r="A711" s="2"/>
      <c r="B711" s="2"/>
      <c r="C711" s="2"/>
      <c r="D711" s="2"/>
      <c r="E711" s="2"/>
      <c r="F711" s="2"/>
      <c r="G711" s="2"/>
      <c r="H711" s="2"/>
      <c r="I711" s="2"/>
      <c r="J711" s="2"/>
      <c r="K711" s="2"/>
      <c r="L711" s="2"/>
    </row>
    <row r="712" ht="15.75" customHeight="1">
      <c r="A712" s="2"/>
      <c r="B712" s="2"/>
      <c r="C712" s="2"/>
      <c r="D712" s="2"/>
      <c r="E712" s="2"/>
      <c r="F712" s="2"/>
      <c r="G712" s="2"/>
      <c r="H712" s="2"/>
      <c r="I712" s="2"/>
      <c r="J712" s="2"/>
      <c r="K712" s="2"/>
      <c r="L712" s="2"/>
    </row>
    <row r="713" ht="15.75" customHeight="1">
      <c r="A713" s="2"/>
      <c r="B713" s="2"/>
      <c r="C713" s="2"/>
      <c r="D713" s="2"/>
      <c r="E713" s="2"/>
      <c r="F713" s="2"/>
      <c r="G713" s="2"/>
      <c r="H713" s="2"/>
      <c r="I713" s="2"/>
      <c r="J713" s="2"/>
      <c r="K713" s="2"/>
      <c r="L713" s="2"/>
    </row>
    <row r="714" ht="15.75" customHeight="1">
      <c r="A714" s="2"/>
      <c r="B714" s="2"/>
      <c r="C714" s="2"/>
      <c r="D714" s="2"/>
      <c r="E714" s="2"/>
      <c r="F714" s="2"/>
      <c r="G714" s="2"/>
      <c r="H714" s="2"/>
      <c r="I714" s="2"/>
      <c r="J714" s="2"/>
      <c r="K714" s="2"/>
      <c r="L714" s="2"/>
    </row>
    <row r="715" ht="15.75" customHeight="1">
      <c r="A715" s="2"/>
      <c r="B715" s="2"/>
      <c r="C715" s="2"/>
      <c r="D715" s="2"/>
      <c r="E715" s="2"/>
      <c r="F715" s="2"/>
      <c r="G715" s="2"/>
      <c r="H715" s="2"/>
      <c r="I715" s="2"/>
      <c r="J715" s="2"/>
      <c r="K715" s="2"/>
      <c r="L715" s="2"/>
    </row>
    <row r="716" ht="15.75" customHeight="1">
      <c r="A716" s="2"/>
      <c r="B716" s="2"/>
      <c r="C716" s="2"/>
      <c r="D716" s="2"/>
      <c r="E716" s="2"/>
      <c r="F716" s="2"/>
      <c r="G716" s="2"/>
      <c r="H716" s="2"/>
      <c r="I716" s="2"/>
      <c r="J716" s="2"/>
      <c r="K716" s="2"/>
      <c r="L716" s="2"/>
    </row>
    <row r="717" ht="15.75" customHeight="1">
      <c r="A717" s="2"/>
      <c r="B717" s="2"/>
      <c r="C717" s="2"/>
      <c r="D717" s="2"/>
      <c r="E717" s="2"/>
      <c r="F717" s="2"/>
      <c r="G717" s="2"/>
      <c r="H717" s="2"/>
      <c r="I717" s="2"/>
      <c r="J717" s="2"/>
      <c r="K717" s="2"/>
      <c r="L717" s="2"/>
    </row>
    <row r="718" ht="15.75" customHeight="1">
      <c r="A718" s="2"/>
      <c r="B718" s="2"/>
      <c r="C718" s="2"/>
      <c r="D718" s="2"/>
      <c r="E718" s="2"/>
      <c r="F718" s="2"/>
      <c r="G718" s="2"/>
      <c r="H718" s="2"/>
      <c r="I718" s="2"/>
      <c r="J718" s="2"/>
      <c r="K718" s="2"/>
      <c r="L718" s="2"/>
    </row>
    <row r="719" ht="15.75" customHeight="1">
      <c r="A719" s="2"/>
      <c r="B719" s="2"/>
      <c r="C719" s="2"/>
      <c r="D719" s="2"/>
      <c r="E719" s="2"/>
      <c r="F719" s="2"/>
      <c r="G719" s="2"/>
      <c r="H719" s="2"/>
      <c r="I719" s="2"/>
      <c r="J719" s="2"/>
      <c r="K719" s="2"/>
      <c r="L719" s="2"/>
    </row>
    <row r="720" ht="15.75" customHeight="1">
      <c r="A720" s="2"/>
      <c r="B720" s="2"/>
      <c r="C720" s="2"/>
      <c r="D720" s="2"/>
      <c r="E720" s="2"/>
      <c r="F720" s="2"/>
      <c r="G720" s="2"/>
      <c r="H720" s="2"/>
      <c r="I720" s="2"/>
      <c r="J720" s="2"/>
      <c r="K720" s="2"/>
      <c r="L720" s="2"/>
    </row>
    <row r="721" ht="15.75" customHeight="1">
      <c r="A721" s="2"/>
      <c r="B721" s="2"/>
      <c r="C721" s="2"/>
      <c r="D721" s="2"/>
      <c r="E721" s="2"/>
      <c r="F721" s="2"/>
      <c r="G721" s="2"/>
      <c r="H721" s="2"/>
      <c r="I721" s="2"/>
      <c r="J721" s="2"/>
      <c r="K721" s="2"/>
      <c r="L721" s="2"/>
    </row>
    <row r="722" ht="15.75" customHeight="1">
      <c r="A722" s="2"/>
      <c r="B722" s="2"/>
      <c r="C722" s="2"/>
      <c r="D722" s="2"/>
      <c r="E722" s="2"/>
      <c r="F722" s="2"/>
      <c r="G722" s="2"/>
      <c r="H722" s="2"/>
      <c r="I722" s="2"/>
      <c r="J722" s="2"/>
      <c r="K722" s="2"/>
      <c r="L722" s="2"/>
    </row>
    <row r="723" ht="15.75" customHeight="1">
      <c r="A723" s="2"/>
      <c r="B723" s="2"/>
      <c r="C723" s="2"/>
      <c r="D723" s="2"/>
      <c r="E723" s="2"/>
      <c r="F723" s="2"/>
      <c r="G723" s="2"/>
      <c r="H723" s="2"/>
      <c r="I723" s="2"/>
      <c r="J723" s="2"/>
      <c r="K723" s="2"/>
      <c r="L723" s="2"/>
    </row>
    <row r="724" ht="15.75" customHeight="1">
      <c r="A724" s="2"/>
      <c r="B724" s="2"/>
      <c r="C724" s="2"/>
      <c r="D724" s="2"/>
      <c r="E724" s="2"/>
      <c r="F724" s="2"/>
      <c r="G724" s="2"/>
      <c r="H724" s="2"/>
      <c r="I724" s="2"/>
      <c r="J724" s="2"/>
      <c r="K724" s="2"/>
      <c r="L724" s="2"/>
    </row>
    <row r="725" ht="15.75" customHeight="1">
      <c r="A725" s="2"/>
      <c r="B725" s="2"/>
      <c r="C725" s="2"/>
      <c r="D725" s="2"/>
      <c r="E725" s="2"/>
      <c r="F725" s="2"/>
      <c r="G725" s="2"/>
      <c r="H725" s="2"/>
      <c r="I725" s="2"/>
      <c r="J725" s="2"/>
      <c r="K725" s="2"/>
      <c r="L725" s="2"/>
    </row>
    <row r="726" ht="15.75" customHeight="1">
      <c r="A726" s="2"/>
      <c r="B726" s="2"/>
      <c r="C726" s="2"/>
      <c r="D726" s="2"/>
      <c r="E726" s="2"/>
      <c r="F726" s="2"/>
      <c r="G726" s="2"/>
      <c r="H726" s="2"/>
      <c r="I726" s="2"/>
      <c r="J726" s="2"/>
      <c r="K726" s="2"/>
      <c r="L726" s="2"/>
    </row>
    <row r="727" ht="15.75" customHeight="1">
      <c r="A727" s="2"/>
      <c r="B727" s="2"/>
      <c r="C727" s="2"/>
      <c r="D727" s="2"/>
      <c r="E727" s="2"/>
      <c r="F727" s="2"/>
      <c r="G727" s="2"/>
      <c r="H727" s="2"/>
      <c r="I727" s="2"/>
      <c r="J727" s="2"/>
      <c r="K727" s="2"/>
      <c r="L727" s="2"/>
    </row>
    <row r="728" ht="15.75" customHeight="1">
      <c r="A728" s="2"/>
      <c r="B728" s="2"/>
      <c r="C728" s="2"/>
      <c r="D728" s="2"/>
      <c r="E728" s="2"/>
      <c r="F728" s="2"/>
      <c r="G728" s="2"/>
      <c r="H728" s="2"/>
      <c r="I728" s="2"/>
      <c r="J728" s="2"/>
      <c r="K728" s="2"/>
      <c r="L728" s="2"/>
    </row>
    <row r="729" ht="15.75" customHeight="1">
      <c r="A729" s="2"/>
      <c r="B729" s="2"/>
      <c r="C729" s="2"/>
      <c r="D729" s="2"/>
      <c r="E729" s="2"/>
      <c r="F729" s="2"/>
      <c r="G729" s="2"/>
      <c r="H729" s="2"/>
      <c r="I729" s="2"/>
      <c r="J729" s="2"/>
      <c r="K729" s="2"/>
      <c r="L729" s="2"/>
    </row>
    <row r="730" ht="15.75" customHeight="1">
      <c r="A730" s="2"/>
      <c r="B730" s="2"/>
      <c r="C730" s="2"/>
      <c r="D730" s="2"/>
      <c r="E730" s="2"/>
      <c r="F730" s="2"/>
      <c r="G730" s="2"/>
      <c r="H730" s="2"/>
      <c r="I730" s="2"/>
      <c r="J730" s="2"/>
      <c r="K730" s="2"/>
      <c r="L730" s="2"/>
    </row>
    <row r="731" ht="15.75" customHeight="1">
      <c r="A731" s="2"/>
      <c r="B731" s="2"/>
      <c r="C731" s="2"/>
      <c r="D731" s="2"/>
      <c r="E731" s="2"/>
      <c r="F731" s="2"/>
      <c r="G731" s="2"/>
      <c r="H731" s="2"/>
      <c r="I731" s="2"/>
      <c r="J731" s="2"/>
      <c r="K731" s="2"/>
      <c r="L731" s="2"/>
    </row>
    <row r="732" ht="15.75" customHeight="1">
      <c r="A732" s="2"/>
      <c r="B732" s="2"/>
      <c r="C732" s="2"/>
      <c r="D732" s="2"/>
      <c r="E732" s="2"/>
      <c r="F732" s="2"/>
      <c r="G732" s="2"/>
      <c r="H732" s="2"/>
      <c r="I732" s="2"/>
      <c r="J732" s="2"/>
      <c r="K732" s="2"/>
      <c r="L732" s="2"/>
    </row>
    <row r="733" ht="15.75" customHeight="1">
      <c r="A733" s="2"/>
      <c r="B733" s="2"/>
      <c r="C733" s="2"/>
      <c r="D733" s="2"/>
      <c r="E733" s="2"/>
      <c r="F733" s="2"/>
      <c r="G733" s="2"/>
      <c r="H733" s="2"/>
      <c r="I733" s="2"/>
      <c r="J733" s="2"/>
      <c r="K733" s="2"/>
      <c r="L733" s="2"/>
    </row>
    <row r="734" ht="15.75" customHeight="1">
      <c r="A734" s="2"/>
      <c r="B734" s="2"/>
      <c r="C734" s="2"/>
      <c r="D734" s="2"/>
      <c r="E734" s="2"/>
      <c r="F734" s="2"/>
      <c r="G734" s="2"/>
      <c r="H734" s="2"/>
      <c r="I734" s="2"/>
      <c r="J734" s="2"/>
      <c r="K734" s="2"/>
      <c r="L734" s="2"/>
    </row>
    <row r="735" ht="15.75" customHeight="1">
      <c r="A735" s="2"/>
      <c r="B735" s="2"/>
      <c r="C735" s="2"/>
      <c r="D735" s="2"/>
      <c r="E735" s="2"/>
      <c r="F735" s="2"/>
      <c r="G735" s="2"/>
      <c r="H735" s="2"/>
      <c r="I735" s="2"/>
      <c r="J735" s="2"/>
      <c r="K735" s="2"/>
      <c r="L735" s="2"/>
    </row>
    <row r="736" ht="15.75" customHeight="1">
      <c r="A736" s="2"/>
      <c r="B736" s="2"/>
      <c r="C736" s="2"/>
      <c r="D736" s="2"/>
      <c r="E736" s="2"/>
      <c r="F736" s="2"/>
      <c r="G736" s="2"/>
      <c r="H736" s="2"/>
      <c r="I736" s="2"/>
      <c r="J736" s="2"/>
      <c r="K736" s="2"/>
      <c r="L736" s="2"/>
    </row>
    <row r="737" ht="15.75" customHeight="1">
      <c r="A737" s="2"/>
      <c r="B737" s="2"/>
      <c r="C737" s="2"/>
      <c r="D737" s="2"/>
      <c r="E737" s="2"/>
      <c r="F737" s="2"/>
      <c r="G737" s="2"/>
      <c r="H737" s="2"/>
      <c r="I737" s="2"/>
      <c r="J737" s="2"/>
      <c r="K737" s="2"/>
      <c r="L737" s="2"/>
    </row>
    <row r="738" ht="15.75" customHeight="1">
      <c r="A738" s="2"/>
      <c r="B738" s="2"/>
      <c r="C738" s="2"/>
      <c r="D738" s="2"/>
      <c r="E738" s="2"/>
      <c r="F738" s="2"/>
      <c r="G738" s="2"/>
      <c r="H738" s="2"/>
      <c r="I738" s="2"/>
      <c r="J738" s="2"/>
      <c r="K738" s="2"/>
      <c r="L738" s="2"/>
    </row>
    <row r="739" ht="15.75" customHeight="1">
      <c r="A739" s="2"/>
      <c r="B739" s="2"/>
      <c r="C739" s="2"/>
      <c r="D739" s="2"/>
      <c r="E739" s="2"/>
      <c r="F739" s="2"/>
      <c r="G739" s="2"/>
      <c r="H739" s="2"/>
      <c r="I739" s="2"/>
      <c r="J739" s="2"/>
      <c r="K739" s="2"/>
      <c r="L739" s="2"/>
    </row>
    <row r="740" ht="15.75" customHeight="1">
      <c r="A740" s="2"/>
      <c r="B740" s="2"/>
      <c r="C740" s="2"/>
      <c r="D740" s="2"/>
      <c r="E740" s="2"/>
      <c r="F740" s="2"/>
      <c r="G740" s="2"/>
      <c r="H740" s="2"/>
      <c r="I740" s="2"/>
      <c r="J740" s="2"/>
      <c r="K740" s="2"/>
      <c r="L740" s="2"/>
    </row>
    <row r="741" ht="15.75" customHeight="1">
      <c r="A741" s="2"/>
      <c r="B741" s="2"/>
      <c r="C741" s="2"/>
      <c r="D741" s="2"/>
      <c r="E741" s="2"/>
      <c r="F741" s="2"/>
      <c r="G741" s="2"/>
      <c r="H741" s="2"/>
      <c r="I741" s="2"/>
      <c r="J741" s="2"/>
      <c r="K741" s="2"/>
      <c r="L741" s="2"/>
    </row>
    <row r="742" ht="15.75" customHeight="1">
      <c r="A742" s="2"/>
      <c r="B742" s="2"/>
      <c r="C742" s="2"/>
      <c r="D742" s="2"/>
      <c r="E742" s="2"/>
      <c r="F742" s="2"/>
      <c r="G742" s="2"/>
      <c r="H742" s="2"/>
      <c r="I742" s="2"/>
      <c r="J742" s="2"/>
      <c r="K742" s="2"/>
      <c r="L742" s="2"/>
    </row>
    <row r="743" ht="15.75" customHeight="1">
      <c r="A743" s="2"/>
      <c r="B743" s="2"/>
      <c r="C743" s="2"/>
      <c r="D743" s="2"/>
      <c r="E743" s="2"/>
      <c r="F743" s="2"/>
      <c r="G743" s="2"/>
      <c r="H743" s="2"/>
      <c r="I743" s="2"/>
      <c r="J743" s="2"/>
      <c r="K743" s="2"/>
      <c r="L743" s="2"/>
    </row>
    <row r="744" ht="15.75" customHeight="1">
      <c r="A744" s="2"/>
      <c r="B744" s="2"/>
      <c r="C744" s="2"/>
      <c r="D744" s="2"/>
      <c r="E744" s="2"/>
      <c r="F744" s="2"/>
      <c r="G744" s="2"/>
      <c r="H744" s="2"/>
      <c r="I744" s="2"/>
      <c r="J744" s="2"/>
      <c r="K744" s="2"/>
      <c r="L744" s="2"/>
    </row>
    <row r="745" ht="15.75" customHeight="1">
      <c r="A745" s="2"/>
      <c r="B745" s="2"/>
      <c r="C745" s="2"/>
      <c r="D745" s="2"/>
      <c r="E745" s="2"/>
      <c r="F745" s="2"/>
      <c r="G745" s="2"/>
      <c r="H745" s="2"/>
      <c r="I745" s="2"/>
      <c r="J745" s="2"/>
      <c r="K745" s="2"/>
      <c r="L745" s="2"/>
    </row>
    <row r="746" ht="15.75" customHeight="1">
      <c r="A746" s="2"/>
      <c r="B746" s="2"/>
      <c r="C746" s="2"/>
      <c r="D746" s="2"/>
      <c r="E746" s="2"/>
      <c r="F746" s="2"/>
      <c r="G746" s="2"/>
      <c r="H746" s="2"/>
      <c r="I746" s="2"/>
      <c r="J746" s="2"/>
      <c r="K746" s="2"/>
      <c r="L746" s="2"/>
    </row>
    <row r="747" ht="15.75" customHeight="1">
      <c r="A747" s="2"/>
      <c r="B747" s="2"/>
      <c r="C747" s="2"/>
      <c r="D747" s="2"/>
      <c r="E747" s="2"/>
      <c r="F747" s="2"/>
      <c r="G747" s="2"/>
      <c r="H747" s="2"/>
      <c r="I747" s="2"/>
      <c r="J747" s="2"/>
      <c r="K747" s="2"/>
      <c r="L747" s="2"/>
    </row>
    <row r="748" ht="15.75" customHeight="1">
      <c r="A748" s="2"/>
      <c r="B748" s="2"/>
      <c r="C748" s="2"/>
      <c r="D748" s="2"/>
      <c r="E748" s="2"/>
      <c r="F748" s="2"/>
      <c r="G748" s="2"/>
      <c r="H748" s="2"/>
      <c r="I748" s="2"/>
      <c r="J748" s="2"/>
      <c r="K748" s="2"/>
      <c r="L748" s="2"/>
    </row>
    <row r="749" ht="15.75" customHeight="1">
      <c r="A749" s="2"/>
      <c r="B749" s="2"/>
      <c r="C749" s="2"/>
      <c r="D749" s="2"/>
      <c r="E749" s="2"/>
      <c r="F749" s="2"/>
      <c r="G749" s="2"/>
      <c r="H749" s="2"/>
      <c r="I749" s="2"/>
      <c r="J749" s="2"/>
      <c r="K749" s="2"/>
      <c r="L749" s="2"/>
    </row>
    <row r="750" ht="15.75" customHeight="1">
      <c r="A750" s="2"/>
      <c r="B750" s="2"/>
      <c r="C750" s="2"/>
      <c r="D750" s="2"/>
      <c r="E750" s="2"/>
      <c r="F750" s="2"/>
      <c r="G750" s="2"/>
      <c r="H750" s="2"/>
      <c r="I750" s="2"/>
      <c r="J750" s="2"/>
      <c r="K750" s="2"/>
      <c r="L750" s="2"/>
    </row>
    <row r="751" ht="15.75" customHeight="1">
      <c r="A751" s="2"/>
      <c r="B751" s="2"/>
      <c r="C751" s="2"/>
      <c r="D751" s="2"/>
      <c r="E751" s="2"/>
      <c r="F751" s="2"/>
      <c r="G751" s="2"/>
      <c r="H751" s="2"/>
      <c r="I751" s="2"/>
      <c r="J751" s="2"/>
      <c r="K751" s="2"/>
      <c r="L751" s="2"/>
    </row>
    <row r="752" ht="15.75" customHeight="1">
      <c r="A752" s="2"/>
      <c r="B752" s="2"/>
      <c r="C752" s="2"/>
      <c r="D752" s="2"/>
      <c r="E752" s="2"/>
      <c r="F752" s="2"/>
      <c r="G752" s="2"/>
      <c r="H752" s="2"/>
      <c r="I752" s="2"/>
      <c r="J752" s="2"/>
      <c r="K752" s="2"/>
      <c r="L752" s="2"/>
    </row>
    <row r="753" ht="15.75" customHeight="1">
      <c r="A753" s="2"/>
      <c r="B753" s="2"/>
      <c r="C753" s="2"/>
      <c r="D753" s="2"/>
      <c r="E753" s="2"/>
      <c r="F753" s="2"/>
      <c r="G753" s="2"/>
      <c r="H753" s="2"/>
      <c r="I753" s="2"/>
      <c r="J753" s="2"/>
      <c r="K753" s="2"/>
      <c r="L753" s="2"/>
    </row>
    <row r="754" ht="15.75" customHeight="1">
      <c r="A754" s="2"/>
      <c r="B754" s="2"/>
      <c r="C754" s="2"/>
      <c r="D754" s="2"/>
      <c r="E754" s="2"/>
      <c r="F754" s="2"/>
      <c r="G754" s="2"/>
      <c r="H754" s="2"/>
      <c r="I754" s="2"/>
      <c r="J754" s="2"/>
      <c r="K754" s="2"/>
      <c r="L754" s="2"/>
    </row>
    <row r="755" ht="15.75" customHeight="1">
      <c r="A755" s="2"/>
      <c r="B755" s="2"/>
      <c r="C755" s="2"/>
      <c r="D755" s="2"/>
      <c r="E755" s="2"/>
      <c r="F755" s="2"/>
      <c r="G755" s="2"/>
      <c r="H755" s="2"/>
      <c r="I755" s="2"/>
      <c r="J755" s="2"/>
      <c r="K755" s="2"/>
      <c r="L755" s="2"/>
    </row>
    <row r="756" ht="15.75" customHeight="1">
      <c r="A756" s="2"/>
      <c r="B756" s="2"/>
      <c r="C756" s="2"/>
      <c r="D756" s="2"/>
      <c r="E756" s="2"/>
      <c r="F756" s="2"/>
      <c r="G756" s="2"/>
      <c r="H756" s="2"/>
      <c r="I756" s="2"/>
      <c r="J756" s="2"/>
      <c r="K756" s="2"/>
      <c r="L756" s="2"/>
    </row>
    <row r="757" ht="15.75" customHeight="1">
      <c r="A757" s="2"/>
      <c r="B757" s="2"/>
      <c r="C757" s="2"/>
      <c r="D757" s="2"/>
      <c r="E757" s="2"/>
      <c r="F757" s="2"/>
      <c r="G757" s="2"/>
      <c r="H757" s="2"/>
      <c r="I757" s="2"/>
      <c r="J757" s="2"/>
      <c r="K757" s="2"/>
      <c r="L757" s="2"/>
    </row>
    <row r="758" ht="15.75" customHeight="1">
      <c r="A758" s="2"/>
      <c r="B758" s="2"/>
      <c r="C758" s="2"/>
      <c r="D758" s="2"/>
      <c r="E758" s="2"/>
      <c r="F758" s="2"/>
      <c r="G758" s="2"/>
      <c r="H758" s="2"/>
      <c r="I758" s="2"/>
      <c r="J758" s="2"/>
      <c r="K758" s="2"/>
      <c r="L758" s="2"/>
    </row>
    <row r="759" ht="15.75" customHeight="1">
      <c r="A759" s="2"/>
      <c r="B759" s="2"/>
      <c r="C759" s="2"/>
      <c r="D759" s="2"/>
      <c r="E759" s="2"/>
      <c r="F759" s="2"/>
      <c r="G759" s="2"/>
      <c r="H759" s="2"/>
      <c r="I759" s="2"/>
      <c r="J759" s="2"/>
      <c r="K759" s="2"/>
      <c r="L759" s="2"/>
    </row>
    <row r="760" ht="15.75" customHeight="1">
      <c r="A760" s="2"/>
      <c r="B760" s="2"/>
      <c r="C760" s="2"/>
      <c r="D760" s="2"/>
      <c r="E760" s="2"/>
      <c r="F760" s="2"/>
      <c r="G760" s="2"/>
      <c r="H760" s="2"/>
      <c r="I760" s="2"/>
      <c r="J760" s="2"/>
      <c r="K760" s="2"/>
      <c r="L760" s="2"/>
    </row>
    <row r="761" ht="15.75" customHeight="1">
      <c r="A761" s="2"/>
      <c r="B761" s="2"/>
      <c r="C761" s="2"/>
      <c r="D761" s="2"/>
      <c r="E761" s="2"/>
      <c r="F761" s="2"/>
      <c r="G761" s="2"/>
      <c r="H761" s="2"/>
      <c r="I761" s="2"/>
      <c r="J761" s="2"/>
      <c r="K761" s="2"/>
      <c r="L761" s="2"/>
    </row>
    <row r="762" ht="15.75" customHeight="1">
      <c r="A762" s="2"/>
      <c r="B762" s="2"/>
      <c r="C762" s="2"/>
      <c r="D762" s="2"/>
      <c r="E762" s="2"/>
      <c r="F762" s="2"/>
      <c r="G762" s="2"/>
      <c r="H762" s="2"/>
      <c r="I762" s="2"/>
      <c r="J762" s="2"/>
      <c r="K762" s="2"/>
      <c r="L762" s="2"/>
    </row>
    <row r="763" ht="15.75" customHeight="1">
      <c r="A763" s="2"/>
      <c r="B763" s="2"/>
      <c r="C763" s="2"/>
      <c r="D763" s="2"/>
      <c r="E763" s="2"/>
      <c r="F763" s="2"/>
      <c r="G763" s="2"/>
      <c r="H763" s="2"/>
      <c r="I763" s="2"/>
      <c r="J763" s="2"/>
      <c r="K763" s="2"/>
      <c r="L763" s="2"/>
    </row>
    <row r="764" ht="15.75" customHeight="1">
      <c r="A764" s="2"/>
      <c r="B764" s="2"/>
      <c r="C764" s="2"/>
      <c r="D764" s="2"/>
      <c r="E764" s="2"/>
      <c r="F764" s="2"/>
      <c r="G764" s="2"/>
      <c r="H764" s="2"/>
      <c r="I764" s="2"/>
      <c r="J764" s="2"/>
      <c r="K764" s="2"/>
      <c r="L764" s="2"/>
    </row>
    <row r="765" ht="15.75" customHeight="1">
      <c r="A765" s="2"/>
      <c r="B765" s="2"/>
      <c r="C765" s="2"/>
      <c r="D765" s="2"/>
      <c r="E765" s="2"/>
      <c r="F765" s="2"/>
      <c r="G765" s="2"/>
      <c r="H765" s="2"/>
      <c r="I765" s="2"/>
      <c r="J765" s="2"/>
      <c r="K765" s="2"/>
      <c r="L765" s="2"/>
    </row>
    <row r="766" ht="15.75" customHeight="1">
      <c r="A766" s="2"/>
      <c r="B766" s="2"/>
      <c r="C766" s="2"/>
      <c r="D766" s="2"/>
      <c r="E766" s="2"/>
      <c r="F766" s="2"/>
      <c r="G766" s="2"/>
      <c r="H766" s="2"/>
      <c r="I766" s="2"/>
      <c r="J766" s="2"/>
      <c r="K766" s="2"/>
      <c r="L766" s="2"/>
    </row>
    <row r="767" ht="15.75" customHeight="1">
      <c r="A767" s="2"/>
      <c r="B767" s="2"/>
      <c r="C767" s="2"/>
      <c r="D767" s="2"/>
      <c r="E767" s="2"/>
      <c r="F767" s="2"/>
      <c r="G767" s="2"/>
      <c r="H767" s="2"/>
      <c r="I767" s="2"/>
      <c r="J767" s="2"/>
      <c r="K767" s="2"/>
      <c r="L767" s="2"/>
    </row>
    <row r="768" ht="15.75" customHeight="1">
      <c r="A768" s="2"/>
      <c r="B768" s="2"/>
      <c r="C768" s="2"/>
      <c r="D768" s="2"/>
      <c r="E768" s="2"/>
      <c r="F768" s="2"/>
      <c r="G768" s="2"/>
      <c r="H768" s="2"/>
      <c r="I768" s="2"/>
      <c r="J768" s="2"/>
      <c r="K768" s="2"/>
      <c r="L768" s="2"/>
    </row>
    <row r="769" ht="15.75" customHeight="1">
      <c r="A769" s="2"/>
      <c r="B769" s="2"/>
      <c r="C769" s="2"/>
      <c r="D769" s="2"/>
      <c r="E769" s="2"/>
      <c r="F769" s="2"/>
      <c r="G769" s="2"/>
      <c r="H769" s="2"/>
      <c r="I769" s="2"/>
      <c r="J769" s="2"/>
      <c r="K769" s="2"/>
      <c r="L769" s="2"/>
    </row>
    <row r="770" ht="15.75" customHeight="1">
      <c r="A770" s="2"/>
      <c r="B770" s="2"/>
      <c r="C770" s="2"/>
      <c r="D770" s="2"/>
      <c r="E770" s="2"/>
      <c r="F770" s="2"/>
      <c r="G770" s="2"/>
      <c r="H770" s="2"/>
      <c r="I770" s="2"/>
      <c r="J770" s="2"/>
      <c r="K770" s="2"/>
      <c r="L770" s="2"/>
    </row>
    <row r="771" ht="15.75" customHeight="1">
      <c r="A771" s="2"/>
      <c r="B771" s="2"/>
      <c r="C771" s="2"/>
      <c r="D771" s="2"/>
      <c r="E771" s="2"/>
      <c r="F771" s="2"/>
      <c r="G771" s="2"/>
      <c r="H771" s="2"/>
      <c r="I771" s="2"/>
      <c r="J771" s="2"/>
      <c r="K771" s="2"/>
      <c r="L771" s="2"/>
    </row>
    <row r="772" ht="15.75" customHeight="1">
      <c r="A772" s="2"/>
      <c r="B772" s="2"/>
      <c r="C772" s="2"/>
      <c r="D772" s="2"/>
      <c r="E772" s="2"/>
      <c r="F772" s="2"/>
      <c r="G772" s="2"/>
      <c r="H772" s="2"/>
      <c r="I772" s="2"/>
      <c r="J772" s="2"/>
      <c r="K772" s="2"/>
      <c r="L772" s="2"/>
    </row>
    <row r="773" ht="15.75" customHeight="1">
      <c r="A773" s="2"/>
      <c r="B773" s="2"/>
      <c r="C773" s="2"/>
      <c r="D773" s="2"/>
      <c r="E773" s="2"/>
      <c r="F773" s="2"/>
      <c r="G773" s="2"/>
      <c r="H773" s="2"/>
      <c r="I773" s="2"/>
      <c r="J773" s="2"/>
      <c r="K773" s="2"/>
      <c r="L773" s="2"/>
    </row>
    <row r="774" ht="15.75" customHeight="1">
      <c r="A774" s="2"/>
      <c r="B774" s="2"/>
      <c r="C774" s="2"/>
      <c r="D774" s="2"/>
      <c r="E774" s="2"/>
      <c r="F774" s="2"/>
      <c r="G774" s="2"/>
      <c r="H774" s="2"/>
      <c r="I774" s="2"/>
      <c r="J774" s="2"/>
      <c r="K774" s="2"/>
      <c r="L774" s="2"/>
    </row>
    <row r="775" ht="15.75" customHeight="1">
      <c r="A775" s="2"/>
      <c r="B775" s="2"/>
      <c r="C775" s="2"/>
      <c r="D775" s="2"/>
      <c r="E775" s="2"/>
      <c r="F775" s="2"/>
      <c r="G775" s="2"/>
      <c r="H775" s="2"/>
      <c r="I775" s="2"/>
      <c r="J775" s="2"/>
      <c r="K775" s="2"/>
      <c r="L775" s="2"/>
    </row>
    <row r="776" ht="15.75" customHeight="1">
      <c r="A776" s="2"/>
      <c r="B776" s="2"/>
      <c r="C776" s="2"/>
      <c r="D776" s="2"/>
      <c r="E776" s="2"/>
      <c r="F776" s="2"/>
      <c r="G776" s="2"/>
      <c r="H776" s="2"/>
      <c r="I776" s="2"/>
      <c r="J776" s="2"/>
      <c r="K776" s="2"/>
      <c r="L776" s="2"/>
    </row>
    <row r="777" ht="15.75" customHeight="1">
      <c r="A777" s="2"/>
      <c r="B777" s="2"/>
      <c r="C777" s="2"/>
      <c r="D777" s="2"/>
      <c r="E777" s="2"/>
      <c r="F777" s="2"/>
      <c r="G777" s="2"/>
      <c r="H777" s="2"/>
      <c r="I777" s="2"/>
      <c r="J777" s="2"/>
      <c r="K777" s="2"/>
      <c r="L777" s="2"/>
    </row>
    <row r="778" ht="15.75" customHeight="1">
      <c r="A778" s="2"/>
      <c r="B778" s="2"/>
      <c r="C778" s="2"/>
      <c r="D778" s="2"/>
      <c r="E778" s="2"/>
      <c r="F778" s="2"/>
      <c r="G778" s="2"/>
      <c r="H778" s="2"/>
      <c r="I778" s="2"/>
      <c r="J778" s="2"/>
      <c r="K778" s="2"/>
      <c r="L778" s="2"/>
    </row>
    <row r="779" ht="15.75" customHeight="1">
      <c r="A779" s="2"/>
      <c r="B779" s="2"/>
      <c r="C779" s="2"/>
      <c r="D779" s="2"/>
      <c r="E779" s="2"/>
      <c r="F779" s="2"/>
      <c r="G779" s="2"/>
      <c r="H779" s="2"/>
      <c r="I779" s="2"/>
      <c r="J779" s="2"/>
      <c r="K779" s="2"/>
      <c r="L779" s="2"/>
    </row>
    <row r="780" ht="15.75" customHeight="1">
      <c r="A780" s="2"/>
      <c r="B780" s="2"/>
      <c r="C780" s="2"/>
      <c r="D780" s="2"/>
      <c r="E780" s="2"/>
      <c r="F780" s="2"/>
      <c r="G780" s="2"/>
      <c r="H780" s="2"/>
      <c r="I780" s="2"/>
      <c r="J780" s="2"/>
      <c r="K780" s="2"/>
      <c r="L780" s="2"/>
    </row>
    <row r="781" ht="15.75" customHeight="1">
      <c r="A781" s="2"/>
      <c r="B781" s="2"/>
      <c r="C781" s="2"/>
      <c r="D781" s="2"/>
      <c r="E781" s="2"/>
      <c r="F781" s="2"/>
      <c r="G781" s="2"/>
      <c r="H781" s="2"/>
      <c r="I781" s="2"/>
      <c r="J781" s="2"/>
      <c r="K781" s="2"/>
      <c r="L781" s="2"/>
    </row>
    <row r="782" ht="15.75" customHeight="1">
      <c r="A782" s="2"/>
      <c r="B782" s="2"/>
      <c r="C782" s="2"/>
      <c r="D782" s="2"/>
      <c r="E782" s="2"/>
      <c r="F782" s="2"/>
      <c r="G782" s="2"/>
      <c r="H782" s="2"/>
      <c r="I782" s="2"/>
      <c r="J782" s="2"/>
      <c r="K782" s="2"/>
      <c r="L782" s="2"/>
    </row>
    <row r="783" ht="15.75" customHeight="1">
      <c r="A783" s="2"/>
      <c r="B783" s="2"/>
      <c r="C783" s="2"/>
      <c r="D783" s="2"/>
      <c r="E783" s="2"/>
      <c r="F783" s="2"/>
      <c r="G783" s="2"/>
      <c r="H783" s="2"/>
      <c r="I783" s="2"/>
      <c r="J783" s="2"/>
      <c r="K783" s="2"/>
      <c r="L783" s="2"/>
    </row>
    <row r="784" ht="15.75" customHeight="1">
      <c r="A784" s="2"/>
      <c r="B784" s="2"/>
      <c r="C784" s="2"/>
      <c r="D784" s="2"/>
      <c r="E784" s="2"/>
      <c r="F784" s="2"/>
      <c r="G784" s="2"/>
      <c r="H784" s="2"/>
      <c r="I784" s="2"/>
      <c r="J784" s="2"/>
      <c r="K784" s="2"/>
      <c r="L784" s="2"/>
    </row>
    <row r="785" ht="15.75" customHeight="1">
      <c r="A785" s="2"/>
      <c r="B785" s="2"/>
      <c r="C785" s="2"/>
      <c r="D785" s="2"/>
      <c r="E785" s="2"/>
      <c r="F785" s="2"/>
      <c r="G785" s="2"/>
      <c r="H785" s="2"/>
      <c r="I785" s="2"/>
      <c r="J785" s="2"/>
      <c r="K785" s="2"/>
      <c r="L785" s="2"/>
    </row>
    <row r="786" ht="15.75" customHeight="1">
      <c r="A786" s="2"/>
      <c r="B786" s="2"/>
      <c r="C786" s="2"/>
      <c r="D786" s="2"/>
      <c r="E786" s="2"/>
      <c r="F786" s="2"/>
      <c r="G786" s="2"/>
      <c r="H786" s="2"/>
      <c r="I786" s="2"/>
      <c r="J786" s="2"/>
      <c r="K786" s="2"/>
      <c r="L786" s="2"/>
    </row>
    <row r="787" ht="15.75" customHeight="1">
      <c r="A787" s="2"/>
      <c r="B787" s="2"/>
      <c r="C787" s="2"/>
      <c r="D787" s="2"/>
      <c r="E787" s="2"/>
      <c r="F787" s="2"/>
      <c r="G787" s="2"/>
      <c r="H787" s="2"/>
      <c r="I787" s="2"/>
      <c r="J787" s="2"/>
      <c r="K787" s="2"/>
      <c r="L787" s="2"/>
    </row>
    <row r="788" ht="15.75" customHeight="1">
      <c r="A788" s="2"/>
      <c r="B788" s="2"/>
      <c r="C788" s="2"/>
      <c r="D788" s="2"/>
      <c r="E788" s="2"/>
      <c r="F788" s="2"/>
      <c r="G788" s="2"/>
      <c r="H788" s="2"/>
      <c r="I788" s="2"/>
      <c r="J788" s="2"/>
      <c r="K788" s="2"/>
      <c r="L788" s="2"/>
    </row>
    <row r="789" ht="15.75" customHeight="1">
      <c r="A789" s="2"/>
      <c r="B789" s="2"/>
      <c r="C789" s="2"/>
      <c r="D789" s="2"/>
      <c r="E789" s="2"/>
      <c r="F789" s="2"/>
      <c r="G789" s="2"/>
      <c r="H789" s="2"/>
      <c r="I789" s="2"/>
      <c r="J789" s="2"/>
      <c r="K789" s="2"/>
      <c r="L789" s="2"/>
    </row>
    <row r="790" ht="15.75" customHeight="1">
      <c r="A790" s="2"/>
      <c r="B790" s="2"/>
      <c r="C790" s="2"/>
      <c r="D790" s="2"/>
      <c r="E790" s="2"/>
      <c r="F790" s="2"/>
      <c r="G790" s="2"/>
      <c r="H790" s="2"/>
      <c r="I790" s="2"/>
      <c r="J790" s="2"/>
      <c r="K790" s="2"/>
      <c r="L790" s="2"/>
    </row>
    <row r="791" ht="15.75" customHeight="1">
      <c r="A791" s="2"/>
      <c r="B791" s="2"/>
      <c r="C791" s="2"/>
      <c r="D791" s="2"/>
      <c r="E791" s="2"/>
      <c r="F791" s="2"/>
      <c r="G791" s="2"/>
      <c r="H791" s="2"/>
      <c r="I791" s="2"/>
      <c r="J791" s="2"/>
      <c r="K791" s="2"/>
      <c r="L791" s="2"/>
    </row>
    <row r="792" ht="15.75" customHeight="1">
      <c r="A792" s="2"/>
      <c r="B792" s="2"/>
      <c r="C792" s="2"/>
      <c r="D792" s="2"/>
      <c r="E792" s="2"/>
      <c r="F792" s="2"/>
      <c r="G792" s="2"/>
      <c r="H792" s="2"/>
      <c r="I792" s="2"/>
      <c r="J792" s="2"/>
      <c r="K792" s="2"/>
      <c r="L792" s="2"/>
    </row>
    <row r="793" ht="15.75" customHeight="1">
      <c r="A793" s="2"/>
      <c r="B793" s="2"/>
      <c r="C793" s="2"/>
      <c r="D793" s="2"/>
      <c r="E793" s="2"/>
      <c r="F793" s="2"/>
      <c r="G793" s="2"/>
      <c r="H793" s="2"/>
      <c r="I793" s="2"/>
      <c r="J793" s="2"/>
      <c r="K793" s="2"/>
      <c r="L793" s="2"/>
    </row>
    <row r="794" ht="15.75" customHeight="1">
      <c r="A794" s="2"/>
      <c r="B794" s="2"/>
      <c r="C794" s="2"/>
      <c r="D794" s="2"/>
      <c r="E794" s="2"/>
      <c r="F794" s="2"/>
      <c r="G794" s="2"/>
      <c r="H794" s="2"/>
      <c r="I794" s="2"/>
      <c r="J794" s="2"/>
      <c r="K794" s="2"/>
      <c r="L794" s="2"/>
    </row>
    <row r="795" ht="15.75" customHeight="1">
      <c r="A795" s="2"/>
      <c r="B795" s="2"/>
      <c r="C795" s="2"/>
      <c r="D795" s="2"/>
      <c r="E795" s="2"/>
      <c r="F795" s="2"/>
      <c r="G795" s="2"/>
      <c r="H795" s="2"/>
      <c r="I795" s="2"/>
      <c r="J795" s="2"/>
      <c r="K795" s="2"/>
      <c r="L795" s="2"/>
    </row>
    <row r="796" ht="15.75" customHeight="1">
      <c r="A796" s="2"/>
      <c r="B796" s="2"/>
      <c r="C796" s="2"/>
      <c r="D796" s="2"/>
      <c r="E796" s="2"/>
      <c r="F796" s="2"/>
      <c r="G796" s="2"/>
      <c r="H796" s="2"/>
      <c r="I796" s="2"/>
      <c r="J796" s="2"/>
      <c r="K796" s="2"/>
      <c r="L796" s="2"/>
    </row>
    <row r="797" ht="15.75" customHeight="1">
      <c r="A797" s="2"/>
      <c r="B797" s="2"/>
      <c r="C797" s="2"/>
      <c r="D797" s="2"/>
      <c r="E797" s="2"/>
      <c r="F797" s="2"/>
      <c r="G797" s="2"/>
      <c r="H797" s="2"/>
      <c r="I797" s="2"/>
      <c r="J797" s="2"/>
      <c r="K797" s="2"/>
      <c r="L797" s="2"/>
    </row>
    <row r="798" ht="15.75" customHeight="1">
      <c r="A798" s="2"/>
      <c r="B798" s="2"/>
      <c r="C798" s="2"/>
      <c r="D798" s="2"/>
      <c r="E798" s="2"/>
      <c r="F798" s="2"/>
      <c r="G798" s="2"/>
      <c r="H798" s="2"/>
      <c r="I798" s="2"/>
      <c r="J798" s="2"/>
      <c r="K798" s="2"/>
      <c r="L798" s="2"/>
    </row>
    <row r="799" ht="15.75" customHeight="1">
      <c r="A799" s="2"/>
      <c r="B799" s="2"/>
      <c r="C799" s="2"/>
      <c r="D799" s="2"/>
      <c r="E799" s="2"/>
      <c r="F799" s="2"/>
      <c r="G799" s="2"/>
      <c r="H799" s="2"/>
      <c r="I799" s="2"/>
      <c r="J799" s="2"/>
      <c r="K799" s="2"/>
      <c r="L799" s="2"/>
    </row>
    <row r="800" ht="15.75" customHeight="1">
      <c r="A800" s="2"/>
      <c r="B800" s="2"/>
      <c r="C800" s="2"/>
      <c r="D800" s="2"/>
      <c r="E800" s="2"/>
      <c r="F800" s="2"/>
      <c r="G800" s="2"/>
      <c r="H800" s="2"/>
      <c r="I800" s="2"/>
      <c r="J800" s="2"/>
      <c r="K800" s="2"/>
      <c r="L800" s="2"/>
    </row>
    <row r="801" ht="15.75" customHeight="1">
      <c r="A801" s="2"/>
      <c r="B801" s="2"/>
      <c r="C801" s="2"/>
      <c r="D801" s="2"/>
      <c r="E801" s="2"/>
      <c r="F801" s="2"/>
      <c r="G801" s="2"/>
      <c r="H801" s="2"/>
      <c r="I801" s="2"/>
      <c r="J801" s="2"/>
      <c r="K801" s="2"/>
      <c r="L801" s="2"/>
    </row>
    <row r="802" ht="15.75" customHeight="1">
      <c r="A802" s="2"/>
      <c r="B802" s="2"/>
      <c r="C802" s="2"/>
      <c r="D802" s="2"/>
      <c r="E802" s="2"/>
      <c r="F802" s="2"/>
      <c r="G802" s="2"/>
      <c r="H802" s="2"/>
      <c r="I802" s="2"/>
      <c r="J802" s="2"/>
      <c r="K802" s="2"/>
      <c r="L802" s="2"/>
    </row>
    <row r="803" ht="15.75" customHeight="1">
      <c r="A803" s="2"/>
      <c r="B803" s="2"/>
      <c r="C803" s="2"/>
      <c r="D803" s="2"/>
      <c r="E803" s="2"/>
      <c r="F803" s="2"/>
      <c r="G803" s="2"/>
      <c r="H803" s="2"/>
      <c r="I803" s="2"/>
      <c r="J803" s="2"/>
      <c r="K803" s="2"/>
      <c r="L803" s="2"/>
    </row>
    <row r="804" ht="15.75" customHeight="1">
      <c r="A804" s="2"/>
      <c r="B804" s="2"/>
      <c r="C804" s="2"/>
      <c r="D804" s="2"/>
      <c r="E804" s="2"/>
      <c r="F804" s="2"/>
      <c r="G804" s="2"/>
      <c r="H804" s="2"/>
      <c r="I804" s="2"/>
      <c r="J804" s="2"/>
      <c r="K804" s="2"/>
      <c r="L804" s="2"/>
    </row>
    <row r="805" ht="15.75" customHeight="1">
      <c r="A805" s="2"/>
      <c r="B805" s="2"/>
      <c r="C805" s="2"/>
      <c r="D805" s="2"/>
      <c r="E805" s="2"/>
      <c r="F805" s="2"/>
      <c r="G805" s="2"/>
      <c r="H805" s="2"/>
      <c r="I805" s="2"/>
      <c r="J805" s="2"/>
      <c r="K805" s="2"/>
      <c r="L805" s="2"/>
    </row>
    <row r="806" ht="15.75" customHeight="1">
      <c r="A806" s="2"/>
      <c r="B806" s="2"/>
      <c r="C806" s="2"/>
      <c r="D806" s="2"/>
      <c r="E806" s="2"/>
      <c r="F806" s="2"/>
      <c r="G806" s="2"/>
      <c r="H806" s="2"/>
      <c r="I806" s="2"/>
      <c r="J806" s="2"/>
      <c r="K806" s="2"/>
      <c r="L806" s="2"/>
    </row>
    <row r="807" ht="15.75" customHeight="1">
      <c r="A807" s="2"/>
      <c r="B807" s="2"/>
      <c r="C807" s="2"/>
      <c r="D807" s="2"/>
      <c r="E807" s="2"/>
      <c r="F807" s="2"/>
      <c r="G807" s="2"/>
      <c r="H807" s="2"/>
      <c r="I807" s="2"/>
      <c r="J807" s="2"/>
      <c r="K807" s="2"/>
      <c r="L807" s="2"/>
    </row>
    <row r="808" ht="15.75" customHeight="1">
      <c r="A808" s="2"/>
      <c r="B808" s="2"/>
      <c r="C808" s="2"/>
      <c r="D808" s="2"/>
      <c r="E808" s="2"/>
      <c r="F808" s="2"/>
      <c r="G808" s="2"/>
      <c r="H808" s="2"/>
      <c r="I808" s="2"/>
      <c r="J808" s="2"/>
      <c r="K808" s="2"/>
      <c r="L808" s="2"/>
    </row>
    <row r="809" ht="15.75" customHeight="1">
      <c r="A809" s="2"/>
      <c r="B809" s="2"/>
      <c r="C809" s="2"/>
      <c r="D809" s="2"/>
      <c r="E809" s="2"/>
      <c r="F809" s="2"/>
      <c r="G809" s="2"/>
      <c r="H809" s="2"/>
      <c r="I809" s="2"/>
      <c r="J809" s="2"/>
      <c r="K809" s="2"/>
      <c r="L809" s="2"/>
    </row>
    <row r="810" ht="15.75" customHeight="1">
      <c r="A810" s="2"/>
      <c r="B810" s="2"/>
      <c r="C810" s="2"/>
      <c r="D810" s="2"/>
      <c r="E810" s="2"/>
      <c r="F810" s="2"/>
      <c r="G810" s="2"/>
      <c r="H810" s="2"/>
      <c r="I810" s="2"/>
      <c r="J810" s="2"/>
      <c r="K810" s="2"/>
      <c r="L810" s="2"/>
    </row>
    <row r="811" ht="15.75" customHeight="1">
      <c r="A811" s="2"/>
      <c r="B811" s="2"/>
      <c r="C811" s="2"/>
      <c r="D811" s="2"/>
      <c r="E811" s="2"/>
      <c r="F811" s="2"/>
      <c r="G811" s="2"/>
      <c r="H811" s="2"/>
      <c r="I811" s="2"/>
      <c r="J811" s="2"/>
      <c r="K811" s="2"/>
      <c r="L811" s="2"/>
    </row>
    <row r="812" ht="15.75" customHeight="1">
      <c r="A812" s="2"/>
      <c r="B812" s="2"/>
      <c r="C812" s="2"/>
      <c r="D812" s="2"/>
      <c r="E812" s="2"/>
      <c r="F812" s="2"/>
      <c r="G812" s="2"/>
      <c r="H812" s="2"/>
      <c r="I812" s="2"/>
      <c r="J812" s="2"/>
      <c r="K812" s="2"/>
      <c r="L812" s="2"/>
    </row>
    <row r="813" ht="15.75" customHeight="1">
      <c r="A813" s="2"/>
      <c r="B813" s="2"/>
      <c r="C813" s="2"/>
      <c r="D813" s="2"/>
      <c r="E813" s="2"/>
      <c r="F813" s="2"/>
      <c r="G813" s="2"/>
      <c r="H813" s="2"/>
      <c r="I813" s="2"/>
      <c r="J813" s="2"/>
      <c r="K813" s="2"/>
      <c r="L813" s="2"/>
    </row>
    <row r="814" ht="15.75" customHeight="1">
      <c r="A814" s="2"/>
      <c r="B814" s="2"/>
      <c r="C814" s="2"/>
      <c r="D814" s="2"/>
      <c r="E814" s="2"/>
      <c r="F814" s="2"/>
      <c r="G814" s="2"/>
      <c r="H814" s="2"/>
      <c r="I814" s="2"/>
      <c r="J814" s="2"/>
      <c r="K814" s="2"/>
      <c r="L814" s="2"/>
    </row>
    <row r="815" ht="15.75" customHeight="1">
      <c r="A815" s="2"/>
      <c r="B815" s="2"/>
      <c r="C815" s="2"/>
      <c r="D815" s="2"/>
      <c r="E815" s="2"/>
      <c r="F815" s="2"/>
      <c r="G815" s="2"/>
      <c r="H815" s="2"/>
      <c r="I815" s="2"/>
      <c r="J815" s="2"/>
      <c r="K815" s="2"/>
      <c r="L815" s="2"/>
    </row>
    <row r="816" ht="15.75" customHeight="1">
      <c r="A816" s="2"/>
      <c r="B816" s="2"/>
      <c r="C816" s="2"/>
      <c r="D816" s="2"/>
      <c r="E816" s="2"/>
      <c r="F816" s="2"/>
      <c r="G816" s="2"/>
      <c r="H816" s="2"/>
      <c r="I816" s="2"/>
      <c r="J816" s="2"/>
      <c r="K816" s="2"/>
      <c r="L816" s="2"/>
    </row>
    <row r="817" ht="15.75" customHeight="1">
      <c r="A817" s="2"/>
      <c r="B817" s="2"/>
      <c r="C817" s="2"/>
      <c r="D817" s="2"/>
      <c r="E817" s="2"/>
      <c r="F817" s="2"/>
      <c r="G817" s="2"/>
      <c r="H817" s="2"/>
      <c r="I817" s="2"/>
      <c r="J817" s="2"/>
      <c r="K817" s="2"/>
      <c r="L817" s="2"/>
    </row>
    <row r="818" ht="15.75" customHeight="1">
      <c r="A818" s="2"/>
      <c r="B818" s="2"/>
      <c r="C818" s="2"/>
      <c r="D818" s="2"/>
      <c r="E818" s="2"/>
      <c r="F818" s="2"/>
      <c r="G818" s="2"/>
      <c r="H818" s="2"/>
      <c r="I818" s="2"/>
      <c r="J818" s="2"/>
      <c r="K818" s="2"/>
      <c r="L818" s="2"/>
    </row>
    <row r="819" ht="15.75" customHeight="1">
      <c r="A819" s="2"/>
      <c r="B819" s="2"/>
      <c r="C819" s="2"/>
      <c r="D819" s="2"/>
      <c r="E819" s="2"/>
      <c r="F819" s="2"/>
      <c r="G819" s="2"/>
      <c r="H819" s="2"/>
      <c r="I819" s="2"/>
      <c r="J819" s="2"/>
      <c r="K819" s="2"/>
      <c r="L819" s="2"/>
    </row>
    <row r="820" ht="15.75" customHeight="1">
      <c r="A820" s="2"/>
      <c r="B820" s="2"/>
      <c r="C820" s="2"/>
      <c r="D820" s="2"/>
      <c r="E820" s="2"/>
      <c r="F820" s="2"/>
      <c r="G820" s="2"/>
      <c r="H820" s="2"/>
      <c r="I820" s="2"/>
      <c r="J820" s="2"/>
      <c r="K820" s="2"/>
      <c r="L820" s="2"/>
    </row>
    <row r="821" ht="15.75" customHeight="1">
      <c r="A821" s="2"/>
      <c r="B821" s="2"/>
      <c r="C821" s="2"/>
      <c r="D821" s="2"/>
      <c r="E821" s="2"/>
      <c r="F821" s="2"/>
      <c r="G821" s="2"/>
      <c r="H821" s="2"/>
      <c r="I821" s="2"/>
      <c r="J821" s="2"/>
      <c r="K821" s="2"/>
      <c r="L821" s="2"/>
    </row>
    <row r="822" ht="15.75" customHeight="1">
      <c r="A822" s="2"/>
      <c r="B822" s="2"/>
      <c r="C822" s="2"/>
      <c r="D822" s="2"/>
      <c r="E822" s="2"/>
      <c r="F822" s="2"/>
      <c r="G822" s="2"/>
      <c r="H822" s="2"/>
      <c r="I822" s="2"/>
      <c r="J822" s="2"/>
      <c r="K822" s="2"/>
      <c r="L822" s="2"/>
    </row>
    <row r="823" ht="15.75" customHeight="1">
      <c r="A823" s="2"/>
      <c r="B823" s="2"/>
      <c r="C823" s="2"/>
      <c r="D823" s="2"/>
      <c r="E823" s="2"/>
      <c r="F823" s="2"/>
      <c r="G823" s="2"/>
      <c r="H823" s="2"/>
      <c r="I823" s="2"/>
      <c r="J823" s="2"/>
      <c r="K823" s="2"/>
      <c r="L823" s="2"/>
    </row>
    <row r="824" ht="15.75" customHeight="1">
      <c r="A824" s="2"/>
      <c r="B824" s="2"/>
      <c r="C824" s="2"/>
      <c r="D824" s="2"/>
      <c r="E824" s="2"/>
      <c r="F824" s="2"/>
      <c r="G824" s="2"/>
      <c r="H824" s="2"/>
      <c r="I824" s="2"/>
      <c r="J824" s="2"/>
      <c r="K824" s="2"/>
      <c r="L824" s="2"/>
    </row>
    <row r="825" ht="15.75" customHeight="1">
      <c r="A825" s="2"/>
      <c r="B825" s="2"/>
      <c r="C825" s="2"/>
      <c r="D825" s="2"/>
      <c r="E825" s="2"/>
      <c r="F825" s="2"/>
      <c r="G825" s="2"/>
      <c r="H825" s="2"/>
      <c r="I825" s="2"/>
      <c r="J825" s="2"/>
      <c r="K825" s="2"/>
      <c r="L825" s="2"/>
    </row>
    <row r="826" ht="15.75" customHeight="1">
      <c r="A826" s="2"/>
      <c r="B826" s="2"/>
      <c r="C826" s="2"/>
      <c r="D826" s="2"/>
      <c r="E826" s="2"/>
      <c r="F826" s="2"/>
      <c r="G826" s="2"/>
      <c r="H826" s="2"/>
      <c r="I826" s="2"/>
      <c r="J826" s="2"/>
      <c r="K826" s="2"/>
      <c r="L826" s="2"/>
    </row>
    <row r="827" ht="15.75" customHeight="1">
      <c r="A827" s="2"/>
      <c r="B827" s="2"/>
      <c r="C827" s="2"/>
      <c r="D827" s="2"/>
      <c r="E827" s="2"/>
      <c r="F827" s="2"/>
      <c r="G827" s="2"/>
      <c r="H827" s="2"/>
      <c r="I827" s="2"/>
      <c r="J827" s="2"/>
      <c r="K827" s="2"/>
      <c r="L827" s="2"/>
    </row>
    <row r="828" ht="15.75" customHeight="1">
      <c r="A828" s="2"/>
      <c r="B828" s="2"/>
      <c r="C828" s="2"/>
      <c r="D828" s="2"/>
      <c r="E828" s="2"/>
      <c r="F828" s="2"/>
      <c r="G828" s="2"/>
      <c r="H828" s="2"/>
      <c r="I828" s="2"/>
      <c r="J828" s="2"/>
      <c r="K828" s="2"/>
      <c r="L828" s="2"/>
    </row>
    <row r="829" ht="15.75" customHeight="1">
      <c r="A829" s="2"/>
      <c r="B829" s="2"/>
      <c r="C829" s="2"/>
      <c r="D829" s="2"/>
      <c r="E829" s="2"/>
      <c r="F829" s="2"/>
      <c r="G829" s="2"/>
      <c r="H829" s="2"/>
      <c r="I829" s="2"/>
      <c r="J829" s="2"/>
      <c r="K829" s="2"/>
      <c r="L829" s="2"/>
    </row>
    <row r="830" ht="15.75" customHeight="1">
      <c r="A830" s="2"/>
      <c r="B830" s="2"/>
      <c r="C830" s="2"/>
      <c r="D830" s="2"/>
      <c r="E830" s="2"/>
      <c r="F830" s="2"/>
      <c r="G830" s="2"/>
      <c r="H830" s="2"/>
      <c r="I830" s="2"/>
      <c r="J830" s="2"/>
      <c r="K830" s="2"/>
      <c r="L830" s="2"/>
    </row>
    <row r="831" ht="15.75" customHeight="1">
      <c r="A831" s="2"/>
      <c r="B831" s="2"/>
      <c r="C831" s="2"/>
      <c r="D831" s="2"/>
      <c r="E831" s="2"/>
      <c r="F831" s="2"/>
      <c r="G831" s="2"/>
      <c r="H831" s="2"/>
      <c r="I831" s="2"/>
      <c r="J831" s="2"/>
      <c r="K831" s="2"/>
      <c r="L831" s="2"/>
    </row>
    <row r="832" ht="15.75" customHeight="1">
      <c r="A832" s="2"/>
      <c r="B832" s="2"/>
      <c r="C832" s="2"/>
      <c r="D832" s="2"/>
      <c r="E832" s="2"/>
      <c r="F832" s="2"/>
      <c r="G832" s="2"/>
      <c r="H832" s="2"/>
      <c r="I832" s="2"/>
      <c r="J832" s="2"/>
      <c r="K832" s="2"/>
      <c r="L832" s="2"/>
    </row>
    <row r="833" ht="15.75" customHeight="1">
      <c r="A833" s="2"/>
      <c r="B833" s="2"/>
      <c r="C833" s="2"/>
      <c r="D833" s="2"/>
      <c r="E833" s="2"/>
      <c r="F833" s="2"/>
      <c r="G833" s="2"/>
      <c r="H833" s="2"/>
      <c r="I833" s="2"/>
      <c r="J833" s="2"/>
      <c r="K833" s="2"/>
      <c r="L833" s="2"/>
    </row>
    <row r="834" ht="15.75" customHeight="1">
      <c r="A834" s="2"/>
      <c r="B834" s="2"/>
      <c r="C834" s="2"/>
      <c r="D834" s="2"/>
      <c r="E834" s="2"/>
      <c r="F834" s="2"/>
      <c r="G834" s="2"/>
      <c r="H834" s="2"/>
      <c r="I834" s="2"/>
      <c r="J834" s="2"/>
      <c r="K834" s="2"/>
      <c r="L834" s="2"/>
    </row>
    <row r="835" ht="15.75" customHeight="1">
      <c r="A835" s="2"/>
      <c r="B835" s="2"/>
      <c r="C835" s="2"/>
      <c r="D835" s="2"/>
      <c r="E835" s="2"/>
      <c r="F835" s="2"/>
      <c r="G835" s="2"/>
      <c r="H835" s="2"/>
      <c r="I835" s="2"/>
      <c r="J835" s="2"/>
      <c r="K835" s="2"/>
      <c r="L835" s="2"/>
    </row>
    <row r="836" ht="15.75" customHeight="1">
      <c r="A836" s="2"/>
      <c r="B836" s="2"/>
      <c r="C836" s="2"/>
      <c r="D836" s="2"/>
      <c r="E836" s="2"/>
      <c r="F836" s="2"/>
      <c r="G836" s="2"/>
      <c r="H836" s="2"/>
      <c r="I836" s="2"/>
      <c r="J836" s="2"/>
      <c r="K836" s="2"/>
      <c r="L836" s="2"/>
    </row>
    <row r="837" ht="15.75" customHeight="1">
      <c r="A837" s="2"/>
      <c r="B837" s="2"/>
      <c r="C837" s="2"/>
      <c r="D837" s="2"/>
      <c r="E837" s="2"/>
      <c r="F837" s="2"/>
      <c r="G837" s="2"/>
      <c r="H837" s="2"/>
      <c r="I837" s="2"/>
      <c r="J837" s="2"/>
      <c r="K837" s="2"/>
      <c r="L837" s="2"/>
    </row>
    <row r="838" ht="15.75" customHeight="1">
      <c r="A838" s="2"/>
      <c r="B838" s="2"/>
      <c r="C838" s="2"/>
      <c r="D838" s="2"/>
      <c r="E838" s="2"/>
      <c r="F838" s="2"/>
      <c r="G838" s="2"/>
      <c r="H838" s="2"/>
      <c r="I838" s="2"/>
      <c r="J838" s="2"/>
      <c r="K838" s="2"/>
      <c r="L838" s="2"/>
    </row>
    <row r="839" ht="15.75" customHeight="1">
      <c r="A839" s="2"/>
      <c r="B839" s="2"/>
      <c r="C839" s="2"/>
      <c r="D839" s="2"/>
      <c r="E839" s="2"/>
      <c r="F839" s="2"/>
      <c r="G839" s="2"/>
      <c r="H839" s="2"/>
      <c r="I839" s="2"/>
      <c r="J839" s="2"/>
      <c r="K839" s="2"/>
      <c r="L839" s="2"/>
    </row>
    <row r="840" ht="15.75" customHeight="1">
      <c r="A840" s="2"/>
      <c r="B840" s="2"/>
      <c r="C840" s="2"/>
      <c r="D840" s="2"/>
      <c r="E840" s="2"/>
      <c r="F840" s="2"/>
      <c r="G840" s="2"/>
      <c r="H840" s="2"/>
      <c r="I840" s="2"/>
      <c r="J840" s="2"/>
      <c r="K840" s="2"/>
      <c r="L840" s="2"/>
    </row>
    <row r="841" ht="15.75" customHeight="1">
      <c r="A841" s="2"/>
      <c r="B841" s="2"/>
      <c r="C841" s="2"/>
      <c r="D841" s="2"/>
      <c r="E841" s="2"/>
      <c r="F841" s="2"/>
      <c r="G841" s="2"/>
      <c r="H841" s="2"/>
      <c r="I841" s="2"/>
      <c r="J841" s="2"/>
      <c r="K841" s="2"/>
      <c r="L841" s="2"/>
    </row>
    <row r="842" ht="15.75" customHeight="1">
      <c r="A842" s="2"/>
      <c r="B842" s="2"/>
      <c r="C842" s="2"/>
      <c r="D842" s="2"/>
      <c r="E842" s="2"/>
      <c r="F842" s="2"/>
      <c r="G842" s="2"/>
      <c r="H842" s="2"/>
      <c r="I842" s="2"/>
      <c r="J842" s="2"/>
      <c r="K842" s="2"/>
      <c r="L842" s="2"/>
    </row>
    <row r="843" ht="15.75" customHeight="1">
      <c r="A843" s="2"/>
      <c r="B843" s="2"/>
      <c r="C843" s="2"/>
      <c r="D843" s="2"/>
      <c r="E843" s="2"/>
      <c r="F843" s="2"/>
      <c r="G843" s="2"/>
      <c r="H843" s="2"/>
      <c r="I843" s="2"/>
      <c r="J843" s="2"/>
      <c r="K843" s="2"/>
      <c r="L843" s="2"/>
    </row>
    <row r="844" ht="15.75" customHeight="1">
      <c r="A844" s="2"/>
      <c r="B844" s="2"/>
      <c r="C844" s="2"/>
      <c r="D844" s="2"/>
      <c r="E844" s="2"/>
      <c r="F844" s="2"/>
      <c r="G844" s="2"/>
      <c r="H844" s="2"/>
      <c r="I844" s="2"/>
      <c r="J844" s="2"/>
      <c r="K844" s="2"/>
      <c r="L844" s="2"/>
    </row>
    <row r="845" ht="15.75" customHeight="1">
      <c r="A845" s="2"/>
      <c r="B845" s="2"/>
      <c r="C845" s="2"/>
      <c r="D845" s="2"/>
      <c r="E845" s="2"/>
      <c r="F845" s="2"/>
      <c r="G845" s="2"/>
      <c r="H845" s="2"/>
      <c r="I845" s="2"/>
      <c r="J845" s="2"/>
      <c r="K845" s="2"/>
      <c r="L845" s="2"/>
    </row>
    <row r="846" ht="15.75" customHeight="1">
      <c r="A846" s="2"/>
      <c r="B846" s="2"/>
      <c r="C846" s="2"/>
      <c r="D846" s="2"/>
      <c r="E846" s="2"/>
      <c r="F846" s="2"/>
      <c r="G846" s="2"/>
      <c r="H846" s="2"/>
      <c r="I846" s="2"/>
      <c r="J846" s="2"/>
      <c r="K846" s="2"/>
      <c r="L846" s="2"/>
    </row>
    <row r="847" ht="15.75" customHeight="1">
      <c r="A847" s="2"/>
      <c r="B847" s="2"/>
      <c r="C847" s="2"/>
      <c r="D847" s="2"/>
      <c r="E847" s="2"/>
      <c r="F847" s="2"/>
      <c r="G847" s="2"/>
      <c r="H847" s="2"/>
      <c r="I847" s="2"/>
      <c r="J847" s="2"/>
      <c r="K847" s="2"/>
      <c r="L847" s="2"/>
    </row>
    <row r="848" ht="15.75" customHeight="1">
      <c r="A848" s="2"/>
      <c r="B848" s="2"/>
      <c r="C848" s="2"/>
      <c r="D848" s="2"/>
      <c r="E848" s="2"/>
      <c r="F848" s="2"/>
      <c r="G848" s="2"/>
      <c r="H848" s="2"/>
      <c r="I848" s="2"/>
      <c r="J848" s="2"/>
      <c r="K848" s="2"/>
      <c r="L848" s="2"/>
    </row>
    <row r="849" ht="15.75" customHeight="1">
      <c r="A849" s="2"/>
      <c r="B849" s="2"/>
      <c r="C849" s="2"/>
      <c r="D849" s="2"/>
      <c r="E849" s="2"/>
      <c r="F849" s="2"/>
      <c r="G849" s="2"/>
      <c r="H849" s="2"/>
      <c r="I849" s="2"/>
      <c r="J849" s="2"/>
      <c r="K849" s="2"/>
      <c r="L849" s="2"/>
    </row>
    <row r="850" ht="15.75" customHeight="1">
      <c r="A850" s="2"/>
      <c r="B850" s="2"/>
      <c r="C850" s="2"/>
      <c r="D850" s="2"/>
      <c r="E850" s="2"/>
      <c r="F850" s="2"/>
      <c r="G850" s="2"/>
      <c r="H850" s="2"/>
      <c r="I850" s="2"/>
      <c r="J850" s="2"/>
      <c r="K850" s="2"/>
      <c r="L850" s="2"/>
    </row>
    <row r="851" ht="15.75" customHeight="1">
      <c r="A851" s="2"/>
      <c r="B851" s="2"/>
      <c r="C851" s="2"/>
      <c r="D851" s="2"/>
      <c r="E851" s="2"/>
      <c r="F851" s="2"/>
      <c r="G851" s="2"/>
      <c r="H851" s="2"/>
      <c r="I851" s="2"/>
      <c r="J851" s="2"/>
      <c r="K851" s="2"/>
      <c r="L851" s="2"/>
    </row>
    <row r="852" ht="15.75" customHeight="1">
      <c r="A852" s="2"/>
      <c r="B852" s="2"/>
      <c r="C852" s="2"/>
      <c r="D852" s="2"/>
      <c r="E852" s="2"/>
      <c r="F852" s="2"/>
      <c r="G852" s="2"/>
      <c r="H852" s="2"/>
      <c r="I852" s="2"/>
      <c r="J852" s="2"/>
      <c r="K852" s="2"/>
      <c r="L852" s="2"/>
    </row>
    <row r="853" ht="15.75" customHeight="1">
      <c r="A853" s="2"/>
      <c r="B853" s="2"/>
      <c r="C853" s="2"/>
      <c r="D853" s="2"/>
      <c r="E853" s="2"/>
      <c r="F853" s="2"/>
      <c r="G853" s="2"/>
      <c r="H853" s="2"/>
      <c r="I853" s="2"/>
      <c r="J853" s="2"/>
      <c r="K853" s="2"/>
      <c r="L853" s="2"/>
    </row>
    <row r="854" ht="15.75" customHeight="1">
      <c r="A854" s="2"/>
      <c r="B854" s="2"/>
      <c r="C854" s="2"/>
      <c r="D854" s="2"/>
      <c r="E854" s="2"/>
      <c r="F854" s="2"/>
      <c r="G854" s="2"/>
      <c r="H854" s="2"/>
      <c r="I854" s="2"/>
      <c r="J854" s="2"/>
      <c r="K854" s="2"/>
      <c r="L854" s="2"/>
    </row>
    <row r="855" ht="15.75" customHeight="1">
      <c r="A855" s="2"/>
      <c r="B855" s="2"/>
      <c r="C855" s="2"/>
      <c r="D855" s="2"/>
      <c r="E855" s="2"/>
      <c r="F855" s="2"/>
      <c r="G855" s="2"/>
      <c r="H855" s="2"/>
      <c r="I855" s="2"/>
      <c r="J855" s="2"/>
      <c r="K855" s="2"/>
      <c r="L855" s="2"/>
    </row>
    <row r="856" ht="15.75" customHeight="1">
      <c r="A856" s="2"/>
      <c r="B856" s="2"/>
      <c r="C856" s="2"/>
      <c r="D856" s="2"/>
      <c r="E856" s="2"/>
      <c r="F856" s="2"/>
      <c r="G856" s="2"/>
      <c r="H856" s="2"/>
      <c r="I856" s="2"/>
      <c r="J856" s="2"/>
      <c r="K856" s="2"/>
      <c r="L856" s="2"/>
    </row>
    <row r="857" ht="15.75" customHeight="1">
      <c r="A857" s="2"/>
      <c r="B857" s="2"/>
      <c r="C857" s="2"/>
      <c r="D857" s="2"/>
      <c r="E857" s="2"/>
      <c r="F857" s="2"/>
      <c r="G857" s="2"/>
      <c r="H857" s="2"/>
      <c r="I857" s="2"/>
      <c r="J857" s="2"/>
      <c r="K857" s="2"/>
      <c r="L857" s="2"/>
    </row>
    <row r="858" ht="15.75" customHeight="1">
      <c r="A858" s="2"/>
      <c r="B858" s="2"/>
      <c r="C858" s="2"/>
      <c r="D858" s="2"/>
      <c r="E858" s="2"/>
      <c r="F858" s="2"/>
      <c r="G858" s="2"/>
      <c r="H858" s="2"/>
      <c r="I858" s="2"/>
      <c r="J858" s="2"/>
      <c r="K858" s="2"/>
      <c r="L858" s="2"/>
    </row>
    <row r="859" ht="15.75" customHeight="1">
      <c r="A859" s="2"/>
      <c r="B859" s="2"/>
      <c r="C859" s="2"/>
      <c r="D859" s="2"/>
      <c r="E859" s="2"/>
      <c r="F859" s="2"/>
      <c r="G859" s="2"/>
      <c r="H859" s="2"/>
      <c r="I859" s="2"/>
      <c r="J859" s="2"/>
      <c r="K859" s="2"/>
      <c r="L859" s="2"/>
    </row>
    <row r="860" ht="15.75" customHeight="1">
      <c r="A860" s="2"/>
      <c r="B860" s="2"/>
      <c r="C860" s="2"/>
      <c r="D860" s="2"/>
      <c r="E860" s="2"/>
      <c r="F860" s="2"/>
      <c r="G860" s="2"/>
      <c r="H860" s="2"/>
      <c r="I860" s="2"/>
      <c r="J860" s="2"/>
      <c r="K860" s="2"/>
      <c r="L860" s="2"/>
    </row>
    <row r="861" ht="15.75" customHeight="1">
      <c r="A861" s="2"/>
      <c r="B861" s="2"/>
      <c r="C861" s="2"/>
      <c r="D861" s="2"/>
      <c r="E861" s="2"/>
      <c r="F861" s="2"/>
      <c r="G861" s="2"/>
      <c r="H861" s="2"/>
      <c r="I861" s="2"/>
      <c r="J861" s="2"/>
      <c r="K861" s="2"/>
      <c r="L861" s="2"/>
    </row>
    <row r="862" ht="15.75" customHeight="1">
      <c r="A862" s="2"/>
      <c r="B862" s="2"/>
      <c r="C862" s="2"/>
      <c r="D862" s="2"/>
      <c r="E862" s="2"/>
      <c r="F862" s="2"/>
      <c r="G862" s="2"/>
      <c r="H862" s="2"/>
      <c r="I862" s="2"/>
      <c r="J862" s="2"/>
      <c r="K862" s="2"/>
      <c r="L862" s="2"/>
    </row>
    <row r="863" ht="15.75" customHeight="1">
      <c r="A863" s="2"/>
      <c r="B863" s="2"/>
      <c r="C863" s="2"/>
      <c r="D863" s="2"/>
      <c r="E863" s="2"/>
      <c r="F863" s="2"/>
      <c r="G863" s="2"/>
      <c r="H863" s="2"/>
      <c r="I863" s="2"/>
      <c r="J863" s="2"/>
      <c r="K863" s="2"/>
      <c r="L863" s="2"/>
    </row>
    <row r="864" ht="15.75" customHeight="1">
      <c r="A864" s="2"/>
      <c r="B864" s="2"/>
      <c r="C864" s="2"/>
      <c r="D864" s="2"/>
      <c r="E864" s="2"/>
      <c r="F864" s="2"/>
      <c r="G864" s="2"/>
      <c r="H864" s="2"/>
      <c r="I864" s="2"/>
      <c r="J864" s="2"/>
      <c r="K864" s="2"/>
      <c r="L864" s="2"/>
    </row>
    <row r="865" ht="15.75" customHeight="1">
      <c r="A865" s="2"/>
      <c r="B865" s="2"/>
      <c r="C865" s="2"/>
      <c r="D865" s="2"/>
      <c r="E865" s="2"/>
      <c r="F865" s="2"/>
      <c r="G865" s="2"/>
      <c r="H865" s="2"/>
      <c r="I865" s="2"/>
      <c r="J865" s="2"/>
      <c r="K865" s="2"/>
      <c r="L865" s="2"/>
    </row>
    <row r="866" ht="15.75" customHeight="1">
      <c r="A866" s="2"/>
      <c r="B866" s="2"/>
      <c r="C866" s="2"/>
      <c r="D866" s="2"/>
      <c r="E866" s="2"/>
      <c r="F866" s="2"/>
      <c r="G866" s="2"/>
      <c r="H866" s="2"/>
      <c r="I866" s="2"/>
      <c r="J866" s="2"/>
      <c r="K866" s="2"/>
      <c r="L866" s="2"/>
    </row>
    <row r="867" ht="15.75" customHeight="1">
      <c r="A867" s="2"/>
      <c r="B867" s="2"/>
      <c r="C867" s="2"/>
      <c r="D867" s="2"/>
      <c r="E867" s="2"/>
      <c r="F867" s="2"/>
      <c r="G867" s="2"/>
      <c r="H867" s="2"/>
      <c r="I867" s="2"/>
      <c r="J867" s="2"/>
      <c r="K867" s="2"/>
      <c r="L867" s="2"/>
    </row>
    <row r="868" ht="15.75" customHeight="1">
      <c r="A868" s="2"/>
      <c r="B868" s="2"/>
      <c r="C868" s="2"/>
      <c r="D868" s="2"/>
      <c r="E868" s="2"/>
      <c r="F868" s="2"/>
      <c r="G868" s="2"/>
      <c r="H868" s="2"/>
      <c r="I868" s="2"/>
      <c r="J868" s="2"/>
      <c r="K868" s="2"/>
      <c r="L868" s="2"/>
    </row>
    <row r="869" ht="15.75" customHeight="1">
      <c r="A869" s="2"/>
      <c r="B869" s="2"/>
      <c r="C869" s="2"/>
      <c r="D869" s="2"/>
      <c r="E869" s="2"/>
      <c r="F869" s="2"/>
      <c r="G869" s="2"/>
      <c r="H869" s="2"/>
      <c r="I869" s="2"/>
      <c r="J869" s="2"/>
      <c r="K869" s="2"/>
      <c r="L869" s="2"/>
    </row>
    <row r="870" ht="15.75" customHeight="1">
      <c r="A870" s="2"/>
      <c r="B870" s="2"/>
      <c r="C870" s="2"/>
      <c r="D870" s="2"/>
      <c r="E870" s="2"/>
      <c r="F870" s="2"/>
      <c r="G870" s="2"/>
      <c r="H870" s="2"/>
      <c r="I870" s="2"/>
      <c r="J870" s="2"/>
      <c r="K870" s="2"/>
      <c r="L870" s="2"/>
    </row>
    <row r="871" ht="15.75" customHeight="1">
      <c r="A871" s="2"/>
      <c r="B871" s="2"/>
      <c r="C871" s="2"/>
      <c r="D871" s="2"/>
      <c r="E871" s="2"/>
      <c r="F871" s="2"/>
      <c r="G871" s="2"/>
      <c r="H871" s="2"/>
      <c r="I871" s="2"/>
      <c r="J871" s="2"/>
      <c r="K871" s="2"/>
      <c r="L871" s="2"/>
    </row>
    <row r="872" ht="15.75" customHeight="1">
      <c r="A872" s="2"/>
      <c r="B872" s="2"/>
      <c r="C872" s="2"/>
      <c r="D872" s="2"/>
      <c r="E872" s="2"/>
      <c r="F872" s="2"/>
      <c r="G872" s="2"/>
      <c r="H872" s="2"/>
      <c r="I872" s="2"/>
      <c r="J872" s="2"/>
      <c r="K872" s="2"/>
      <c r="L872" s="2"/>
    </row>
    <row r="873" ht="15.75" customHeight="1">
      <c r="A873" s="2"/>
      <c r="B873" s="2"/>
      <c r="C873" s="2"/>
      <c r="D873" s="2"/>
      <c r="E873" s="2"/>
      <c r="F873" s="2"/>
      <c r="G873" s="2"/>
      <c r="H873" s="2"/>
      <c r="I873" s="2"/>
      <c r="J873" s="2"/>
      <c r="K873" s="2"/>
      <c r="L873" s="2"/>
    </row>
    <row r="874" ht="15.75" customHeight="1">
      <c r="A874" s="2"/>
      <c r="B874" s="2"/>
      <c r="C874" s="2"/>
      <c r="D874" s="2"/>
      <c r="E874" s="2"/>
      <c r="F874" s="2"/>
      <c r="G874" s="2"/>
      <c r="H874" s="2"/>
      <c r="I874" s="2"/>
      <c r="J874" s="2"/>
      <c r="K874" s="2"/>
      <c r="L874" s="2"/>
    </row>
    <row r="875" ht="15.75" customHeight="1">
      <c r="A875" s="2"/>
      <c r="B875" s="2"/>
      <c r="C875" s="2"/>
      <c r="D875" s="2"/>
      <c r="E875" s="2"/>
      <c r="F875" s="2"/>
      <c r="G875" s="2"/>
      <c r="H875" s="2"/>
      <c r="I875" s="2"/>
      <c r="J875" s="2"/>
      <c r="K875" s="2"/>
      <c r="L875" s="2"/>
    </row>
    <row r="876" ht="15.75" customHeight="1">
      <c r="A876" s="2"/>
      <c r="B876" s="2"/>
      <c r="C876" s="2"/>
      <c r="D876" s="2"/>
      <c r="E876" s="2"/>
      <c r="F876" s="2"/>
      <c r="G876" s="2"/>
      <c r="H876" s="2"/>
      <c r="I876" s="2"/>
      <c r="J876" s="2"/>
      <c r="K876" s="2"/>
      <c r="L876" s="2"/>
    </row>
    <row r="877" ht="15.75" customHeight="1">
      <c r="A877" s="2"/>
      <c r="B877" s="2"/>
      <c r="C877" s="2"/>
      <c r="D877" s="2"/>
      <c r="E877" s="2"/>
      <c r="F877" s="2"/>
      <c r="G877" s="2"/>
      <c r="H877" s="2"/>
      <c r="I877" s="2"/>
      <c r="J877" s="2"/>
      <c r="K877" s="2"/>
      <c r="L877" s="2"/>
    </row>
    <row r="878" ht="15.75" customHeight="1">
      <c r="A878" s="2"/>
      <c r="B878" s="2"/>
      <c r="C878" s="2"/>
      <c r="D878" s="2"/>
      <c r="E878" s="2"/>
      <c r="F878" s="2"/>
      <c r="G878" s="2"/>
      <c r="H878" s="2"/>
      <c r="I878" s="2"/>
      <c r="J878" s="2"/>
      <c r="K878" s="2"/>
      <c r="L878" s="2"/>
    </row>
    <row r="879" ht="15.75" customHeight="1">
      <c r="A879" s="2"/>
      <c r="B879" s="2"/>
      <c r="C879" s="2"/>
      <c r="D879" s="2"/>
      <c r="E879" s="2"/>
      <c r="F879" s="2"/>
      <c r="G879" s="2"/>
      <c r="H879" s="2"/>
      <c r="I879" s="2"/>
      <c r="J879" s="2"/>
      <c r="K879" s="2"/>
      <c r="L879" s="2"/>
    </row>
    <row r="880" ht="15.75" customHeight="1">
      <c r="A880" s="2"/>
      <c r="B880" s="2"/>
      <c r="C880" s="2"/>
      <c r="D880" s="2"/>
      <c r="E880" s="2"/>
      <c r="F880" s="2"/>
      <c r="G880" s="2"/>
      <c r="H880" s="2"/>
      <c r="I880" s="2"/>
      <c r="J880" s="2"/>
      <c r="K880" s="2"/>
      <c r="L880" s="2"/>
    </row>
    <row r="881" ht="15.75" customHeight="1">
      <c r="A881" s="2"/>
      <c r="B881" s="2"/>
      <c r="C881" s="2"/>
      <c r="D881" s="2"/>
      <c r="E881" s="2"/>
      <c r="F881" s="2"/>
      <c r="G881" s="2"/>
      <c r="H881" s="2"/>
      <c r="I881" s="2"/>
      <c r="J881" s="2"/>
      <c r="K881" s="2"/>
      <c r="L881" s="2"/>
    </row>
    <row r="882" ht="15.75" customHeight="1">
      <c r="A882" s="2"/>
      <c r="B882" s="2"/>
      <c r="C882" s="2"/>
      <c r="D882" s="2"/>
      <c r="E882" s="2"/>
      <c r="F882" s="2"/>
      <c r="G882" s="2"/>
      <c r="H882" s="2"/>
      <c r="I882" s="2"/>
      <c r="J882" s="2"/>
      <c r="K882" s="2"/>
      <c r="L882" s="2"/>
    </row>
    <row r="883" ht="15.75" customHeight="1">
      <c r="A883" s="2"/>
      <c r="B883" s="2"/>
      <c r="C883" s="2"/>
      <c r="D883" s="2"/>
      <c r="E883" s="2"/>
      <c r="F883" s="2"/>
      <c r="G883" s="2"/>
      <c r="H883" s="2"/>
      <c r="I883" s="2"/>
      <c r="J883" s="2"/>
      <c r="K883" s="2"/>
      <c r="L883" s="2"/>
    </row>
    <row r="884" ht="15.75" customHeight="1">
      <c r="A884" s="2"/>
      <c r="B884" s="2"/>
      <c r="C884" s="2"/>
      <c r="D884" s="2"/>
      <c r="E884" s="2"/>
      <c r="F884" s="2"/>
      <c r="G884" s="2"/>
      <c r="H884" s="2"/>
      <c r="I884" s="2"/>
      <c r="J884" s="2"/>
      <c r="K884" s="2"/>
      <c r="L884" s="2"/>
    </row>
    <row r="885" ht="15.75" customHeight="1">
      <c r="A885" s="2"/>
      <c r="B885" s="2"/>
      <c r="C885" s="2"/>
      <c r="D885" s="2"/>
      <c r="E885" s="2"/>
      <c r="F885" s="2"/>
      <c r="G885" s="2"/>
      <c r="H885" s="2"/>
      <c r="I885" s="2"/>
      <c r="J885" s="2"/>
      <c r="K885" s="2"/>
      <c r="L885" s="2"/>
    </row>
    <row r="886" ht="15.75" customHeight="1">
      <c r="A886" s="2"/>
      <c r="B886" s="2"/>
      <c r="C886" s="2"/>
      <c r="D886" s="2"/>
      <c r="E886" s="2"/>
      <c r="F886" s="2"/>
      <c r="G886" s="2"/>
      <c r="H886" s="2"/>
      <c r="I886" s="2"/>
      <c r="J886" s="2"/>
      <c r="K886" s="2"/>
      <c r="L886" s="2"/>
    </row>
    <row r="887" ht="15.75" customHeight="1">
      <c r="A887" s="2"/>
      <c r="B887" s="2"/>
      <c r="C887" s="2"/>
      <c r="D887" s="2"/>
      <c r="E887" s="2"/>
      <c r="F887" s="2"/>
      <c r="G887" s="2"/>
      <c r="H887" s="2"/>
      <c r="I887" s="2"/>
      <c r="J887" s="2"/>
      <c r="K887" s="2"/>
      <c r="L887" s="2"/>
    </row>
    <row r="888" ht="15.75" customHeight="1">
      <c r="A888" s="2"/>
      <c r="B888" s="2"/>
      <c r="C888" s="2"/>
      <c r="D888" s="2"/>
      <c r="E888" s="2"/>
      <c r="F888" s="2"/>
      <c r="G888" s="2"/>
      <c r="H888" s="2"/>
      <c r="I888" s="2"/>
      <c r="J888" s="2"/>
      <c r="K888" s="2"/>
      <c r="L888" s="2"/>
    </row>
    <row r="889" ht="15.75" customHeight="1">
      <c r="A889" s="2"/>
      <c r="B889" s="2"/>
      <c r="C889" s="2"/>
      <c r="D889" s="2"/>
      <c r="E889" s="2"/>
      <c r="F889" s="2"/>
      <c r="G889" s="2"/>
      <c r="H889" s="2"/>
      <c r="I889" s="2"/>
      <c r="J889" s="2"/>
      <c r="K889" s="2"/>
      <c r="L889" s="2"/>
    </row>
    <row r="890" ht="15.75" customHeight="1">
      <c r="A890" s="2"/>
      <c r="B890" s="2"/>
      <c r="C890" s="2"/>
      <c r="D890" s="2"/>
      <c r="E890" s="2"/>
      <c r="F890" s="2"/>
      <c r="G890" s="2"/>
      <c r="H890" s="2"/>
      <c r="I890" s="2"/>
      <c r="J890" s="2"/>
      <c r="K890" s="2"/>
      <c r="L890" s="2"/>
    </row>
    <row r="891" ht="15.75" customHeight="1">
      <c r="A891" s="2"/>
      <c r="B891" s="2"/>
      <c r="C891" s="2"/>
      <c r="D891" s="2"/>
      <c r="E891" s="2"/>
      <c r="F891" s="2"/>
      <c r="G891" s="2"/>
      <c r="H891" s="2"/>
      <c r="I891" s="2"/>
      <c r="J891" s="2"/>
      <c r="K891" s="2"/>
      <c r="L891" s="2"/>
    </row>
    <row r="892" ht="15.75" customHeight="1">
      <c r="A892" s="2"/>
      <c r="B892" s="2"/>
      <c r="C892" s="2"/>
      <c r="D892" s="2"/>
      <c r="E892" s="2"/>
      <c r="F892" s="2"/>
      <c r="G892" s="2"/>
      <c r="H892" s="2"/>
      <c r="I892" s="2"/>
      <c r="J892" s="2"/>
      <c r="K892" s="2"/>
      <c r="L892" s="2"/>
    </row>
    <row r="893" ht="15.75" customHeight="1">
      <c r="A893" s="2"/>
      <c r="B893" s="2"/>
      <c r="C893" s="2"/>
      <c r="D893" s="2"/>
      <c r="E893" s="2"/>
      <c r="F893" s="2"/>
      <c r="G893" s="2"/>
      <c r="H893" s="2"/>
      <c r="I893" s="2"/>
      <c r="J893" s="2"/>
      <c r="K893" s="2"/>
      <c r="L893" s="2"/>
    </row>
    <row r="894" ht="15.75" customHeight="1">
      <c r="A894" s="2"/>
      <c r="B894" s="2"/>
      <c r="C894" s="2"/>
      <c r="D894" s="2"/>
      <c r="E894" s="2"/>
      <c r="F894" s="2"/>
      <c r="G894" s="2"/>
      <c r="H894" s="2"/>
      <c r="I894" s="2"/>
      <c r="J894" s="2"/>
      <c r="K894" s="2"/>
      <c r="L894" s="2"/>
    </row>
    <row r="895" ht="15.75" customHeight="1">
      <c r="A895" s="2"/>
      <c r="B895" s="2"/>
      <c r="C895" s="2"/>
      <c r="D895" s="2"/>
      <c r="E895" s="2"/>
      <c r="F895" s="2"/>
      <c r="G895" s="2"/>
      <c r="H895" s="2"/>
      <c r="I895" s="2"/>
      <c r="J895" s="2"/>
      <c r="K895" s="2"/>
      <c r="L895" s="2"/>
    </row>
    <row r="896" ht="15.75" customHeight="1">
      <c r="A896" s="2"/>
      <c r="B896" s="2"/>
      <c r="C896" s="2"/>
      <c r="D896" s="2"/>
      <c r="E896" s="2"/>
      <c r="F896" s="2"/>
      <c r="G896" s="2"/>
      <c r="H896" s="2"/>
      <c r="I896" s="2"/>
      <c r="J896" s="2"/>
      <c r="K896" s="2"/>
      <c r="L896" s="2"/>
    </row>
    <row r="897" ht="15.75" customHeight="1">
      <c r="A897" s="2"/>
      <c r="B897" s="2"/>
      <c r="C897" s="2"/>
      <c r="D897" s="2"/>
      <c r="E897" s="2"/>
      <c r="F897" s="2"/>
      <c r="G897" s="2"/>
      <c r="H897" s="2"/>
      <c r="I897" s="2"/>
      <c r="J897" s="2"/>
      <c r="K897" s="2"/>
      <c r="L897" s="2"/>
    </row>
    <row r="898" ht="15.75" customHeight="1">
      <c r="A898" s="2"/>
      <c r="B898" s="2"/>
      <c r="C898" s="2"/>
      <c r="D898" s="2"/>
      <c r="E898" s="2"/>
      <c r="F898" s="2"/>
      <c r="G898" s="2"/>
      <c r="H898" s="2"/>
      <c r="I898" s="2"/>
      <c r="J898" s="2"/>
      <c r="K898" s="2"/>
      <c r="L898" s="2"/>
    </row>
    <row r="899" ht="15.75" customHeight="1">
      <c r="A899" s="2"/>
      <c r="B899" s="2"/>
      <c r="C899" s="2"/>
      <c r="D899" s="2"/>
      <c r="E899" s="2"/>
      <c r="F899" s="2"/>
      <c r="G899" s="2"/>
      <c r="H899" s="2"/>
      <c r="I899" s="2"/>
      <c r="J899" s="2"/>
      <c r="K899" s="2"/>
      <c r="L899" s="2"/>
    </row>
    <row r="900" ht="15.75" customHeight="1">
      <c r="A900" s="2"/>
      <c r="B900" s="2"/>
      <c r="C900" s="2"/>
      <c r="D900" s="2"/>
      <c r="E900" s="2"/>
      <c r="F900" s="2"/>
      <c r="G900" s="2"/>
      <c r="H900" s="2"/>
      <c r="I900" s="2"/>
      <c r="J900" s="2"/>
      <c r="K900" s="2"/>
      <c r="L900" s="2"/>
    </row>
    <row r="901" ht="15.75" customHeight="1">
      <c r="A901" s="2"/>
      <c r="B901" s="2"/>
      <c r="C901" s="2"/>
      <c r="D901" s="2"/>
      <c r="E901" s="2"/>
      <c r="F901" s="2"/>
      <c r="G901" s="2"/>
      <c r="H901" s="2"/>
      <c r="I901" s="2"/>
      <c r="J901" s="2"/>
      <c r="K901" s="2"/>
      <c r="L901" s="2"/>
    </row>
    <row r="902" ht="15.75" customHeight="1">
      <c r="A902" s="2"/>
      <c r="B902" s="2"/>
      <c r="C902" s="2"/>
      <c r="D902" s="2"/>
      <c r="E902" s="2"/>
      <c r="F902" s="2"/>
      <c r="G902" s="2"/>
      <c r="H902" s="2"/>
      <c r="I902" s="2"/>
      <c r="J902" s="2"/>
      <c r="K902" s="2"/>
      <c r="L902" s="2"/>
    </row>
    <row r="903" ht="15.75" customHeight="1">
      <c r="A903" s="2"/>
      <c r="B903" s="2"/>
      <c r="C903" s="2"/>
      <c r="D903" s="2"/>
      <c r="E903" s="2"/>
      <c r="F903" s="2"/>
      <c r="G903" s="2"/>
      <c r="H903" s="2"/>
      <c r="I903" s="2"/>
      <c r="J903" s="2"/>
      <c r="K903" s="2"/>
      <c r="L903" s="2"/>
    </row>
    <row r="904" ht="15.75" customHeight="1">
      <c r="A904" s="2"/>
      <c r="B904" s="2"/>
      <c r="C904" s="2"/>
      <c r="D904" s="2"/>
      <c r="E904" s="2"/>
      <c r="F904" s="2"/>
      <c r="G904" s="2"/>
      <c r="H904" s="2"/>
      <c r="I904" s="2"/>
      <c r="J904" s="2"/>
      <c r="K904" s="2"/>
      <c r="L904" s="2"/>
    </row>
    <row r="905" ht="15.75" customHeight="1">
      <c r="A905" s="2"/>
      <c r="B905" s="2"/>
      <c r="C905" s="2"/>
      <c r="D905" s="2"/>
      <c r="E905" s="2"/>
      <c r="F905" s="2"/>
      <c r="G905" s="2"/>
      <c r="H905" s="2"/>
      <c r="I905" s="2"/>
      <c r="J905" s="2"/>
      <c r="K905" s="2"/>
      <c r="L905" s="2"/>
    </row>
    <row r="906" ht="15.75" customHeight="1">
      <c r="A906" s="2"/>
      <c r="B906" s="2"/>
      <c r="C906" s="2"/>
      <c r="D906" s="2"/>
      <c r="E906" s="2"/>
      <c r="F906" s="2"/>
      <c r="G906" s="2"/>
      <c r="H906" s="2"/>
      <c r="I906" s="2"/>
      <c r="J906" s="2"/>
      <c r="K906" s="2"/>
      <c r="L906" s="2"/>
    </row>
    <row r="907" ht="15.75" customHeight="1">
      <c r="A907" s="2"/>
      <c r="B907" s="2"/>
      <c r="C907" s="2"/>
      <c r="D907" s="2"/>
      <c r="E907" s="2"/>
      <c r="F907" s="2"/>
      <c r="G907" s="2"/>
      <c r="H907" s="2"/>
      <c r="I907" s="2"/>
      <c r="J907" s="2"/>
      <c r="K907" s="2"/>
      <c r="L907" s="2"/>
    </row>
    <row r="908" ht="15.75" customHeight="1">
      <c r="A908" s="2"/>
      <c r="B908" s="2"/>
      <c r="C908" s="2"/>
      <c r="D908" s="2"/>
      <c r="E908" s="2"/>
      <c r="F908" s="2"/>
      <c r="G908" s="2"/>
      <c r="H908" s="2"/>
      <c r="I908" s="2"/>
      <c r="J908" s="2"/>
      <c r="K908" s="2"/>
      <c r="L908" s="2"/>
    </row>
    <row r="909" ht="15.75" customHeight="1">
      <c r="A909" s="2"/>
      <c r="B909" s="2"/>
      <c r="C909" s="2"/>
      <c r="D909" s="2"/>
      <c r="E909" s="2"/>
      <c r="F909" s="2"/>
      <c r="G909" s="2"/>
      <c r="H909" s="2"/>
      <c r="I909" s="2"/>
      <c r="J909" s="2"/>
      <c r="K909" s="2"/>
      <c r="L909" s="2"/>
    </row>
    <row r="910" ht="15.75" customHeight="1">
      <c r="A910" s="2"/>
      <c r="B910" s="2"/>
      <c r="C910" s="2"/>
      <c r="D910" s="2"/>
      <c r="E910" s="2"/>
      <c r="F910" s="2"/>
      <c r="G910" s="2"/>
      <c r="H910" s="2"/>
      <c r="I910" s="2"/>
      <c r="J910" s="2"/>
      <c r="K910" s="2"/>
      <c r="L910" s="2"/>
    </row>
    <row r="911" ht="15.75" customHeight="1">
      <c r="A911" s="2"/>
      <c r="B911" s="2"/>
      <c r="C911" s="2"/>
      <c r="D911" s="2"/>
      <c r="E911" s="2"/>
      <c r="F911" s="2"/>
      <c r="G911" s="2"/>
      <c r="H911" s="2"/>
      <c r="I911" s="2"/>
      <c r="J911" s="2"/>
      <c r="K911" s="2"/>
      <c r="L911" s="2"/>
    </row>
    <row r="912" ht="15.75" customHeight="1">
      <c r="A912" s="2"/>
      <c r="B912" s="2"/>
      <c r="C912" s="2"/>
      <c r="D912" s="2"/>
      <c r="E912" s="2"/>
      <c r="F912" s="2"/>
      <c r="G912" s="2"/>
      <c r="H912" s="2"/>
      <c r="I912" s="2"/>
      <c r="J912" s="2"/>
      <c r="K912" s="2"/>
      <c r="L912" s="2"/>
    </row>
    <row r="913" ht="15.75" customHeight="1">
      <c r="A913" s="2"/>
      <c r="B913" s="2"/>
      <c r="C913" s="2"/>
      <c r="D913" s="2"/>
      <c r="E913" s="2"/>
      <c r="F913" s="2"/>
      <c r="G913" s="2"/>
      <c r="H913" s="2"/>
      <c r="I913" s="2"/>
      <c r="J913" s="2"/>
      <c r="K913" s="2"/>
      <c r="L913" s="2"/>
    </row>
    <row r="914" ht="15.75" customHeight="1">
      <c r="A914" s="2"/>
      <c r="B914" s="2"/>
      <c r="C914" s="2"/>
      <c r="D914" s="2"/>
      <c r="E914" s="2"/>
      <c r="F914" s="2"/>
      <c r="G914" s="2"/>
      <c r="H914" s="2"/>
      <c r="I914" s="2"/>
      <c r="J914" s="2"/>
      <c r="K914" s="2"/>
      <c r="L914" s="2"/>
    </row>
    <row r="915" ht="15.75" customHeight="1">
      <c r="A915" s="2"/>
      <c r="B915" s="2"/>
      <c r="C915" s="2"/>
      <c r="D915" s="2"/>
      <c r="E915" s="2"/>
      <c r="F915" s="2"/>
      <c r="G915" s="2"/>
      <c r="H915" s="2"/>
      <c r="I915" s="2"/>
      <c r="J915" s="2"/>
      <c r="K915" s="2"/>
      <c r="L915" s="2"/>
    </row>
    <row r="916" ht="15.75" customHeight="1">
      <c r="A916" s="2"/>
      <c r="B916" s="2"/>
      <c r="C916" s="2"/>
      <c r="D916" s="2"/>
      <c r="E916" s="2"/>
      <c r="F916" s="2"/>
      <c r="G916" s="2"/>
      <c r="H916" s="2"/>
      <c r="I916" s="2"/>
      <c r="J916" s="2"/>
      <c r="K916" s="2"/>
      <c r="L916" s="2"/>
    </row>
    <row r="917" ht="15.75" customHeight="1">
      <c r="A917" s="2"/>
      <c r="B917" s="2"/>
      <c r="C917" s="2"/>
      <c r="D917" s="2"/>
      <c r="E917" s="2"/>
      <c r="F917" s="2"/>
      <c r="G917" s="2"/>
      <c r="H917" s="2"/>
      <c r="I917" s="2"/>
      <c r="J917" s="2"/>
      <c r="K917" s="2"/>
      <c r="L917" s="2"/>
    </row>
    <row r="918" ht="15.75" customHeight="1">
      <c r="A918" s="2"/>
      <c r="B918" s="2"/>
      <c r="C918" s="2"/>
      <c r="D918" s="2"/>
      <c r="E918" s="2"/>
      <c r="F918" s="2"/>
      <c r="G918" s="2"/>
      <c r="H918" s="2"/>
      <c r="I918" s="2"/>
      <c r="J918" s="2"/>
      <c r="K918" s="2"/>
      <c r="L918" s="2"/>
    </row>
    <row r="919" ht="15.75" customHeight="1">
      <c r="A919" s="2"/>
      <c r="B919" s="2"/>
      <c r="C919" s="2"/>
      <c r="D919" s="2"/>
      <c r="E919" s="2"/>
      <c r="F919" s="2"/>
      <c r="G919" s="2"/>
      <c r="H919" s="2"/>
      <c r="I919" s="2"/>
      <c r="J919" s="2"/>
      <c r="K919" s="2"/>
      <c r="L919" s="2"/>
    </row>
    <row r="920" ht="15.75" customHeight="1">
      <c r="A920" s="2"/>
      <c r="B920" s="2"/>
      <c r="C920" s="2"/>
      <c r="D920" s="2"/>
      <c r="E920" s="2"/>
      <c r="F920" s="2"/>
      <c r="G920" s="2"/>
      <c r="H920" s="2"/>
      <c r="I920" s="2"/>
      <c r="J920" s="2"/>
      <c r="K920" s="2"/>
      <c r="L920" s="2"/>
    </row>
    <row r="921" ht="15.75" customHeight="1">
      <c r="A921" s="2"/>
      <c r="B921" s="2"/>
      <c r="C921" s="2"/>
      <c r="D921" s="2"/>
      <c r="E921" s="2"/>
      <c r="F921" s="2"/>
      <c r="G921" s="2"/>
      <c r="H921" s="2"/>
      <c r="I921" s="2"/>
      <c r="J921" s="2"/>
      <c r="K921" s="2"/>
      <c r="L921" s="2"/>
    </row>
    <row r="922" ht="15.75" customHeight="1">
      <c r="A922" s="2"/>
      <c r="B922" s="2"/>
      <c r="C922" s="2"/>
      <c r="D922" s="2"/>
      <c r="E922" s="2"/>
      <c r="F922" s="2"/>
      <c r="G922" s="2"/>
      <c r="H922" s="2"/>
      <c r="I922" s="2"/>
      <c r="J922" s="2"/>
      <c r="K922" s="2"/>
      <c r="L922" s="2"/>
    </row>
    <row r="923" ht="15.75" customHeight="1">
      <c r="A923" s="2"/>
      <c r="B923" s="2"/>
      <c r="C923" s="2"/>
      <c r="D923" s="2"/>
      <c r="E923" s="2"/>
      <c r="F923" s="2"/>
      <c r="G923" s="2"/>
      <c r="H923" s="2"/>
      <c r="I923" s="2"/>
      <c r="J923" s="2"/>
      <c r="K923" s="2"/>
      <c r="L923" s="2"/>
    </row>
    <row r="924" ht="15.75" customHeight="1">
      <c r="A924" s="2"/>
      <c r="B924" s="2"/>
      <c r="C924" s="2"/>
      <c r="D924" s="2"/>
      <c r="E924" s="2"/>
      <c r="F924" s="2"/>
      <c r="G924" s="2"/>
      <c r="H924" s="2"/>
      <c r="I924" s="2"/>
      <c r="J924" s="2"/>
      <c r="K924" s="2"/>
      <c r="L924" s="2"/>
    </row>
    <row r="925" ht="15.75" customHeight="1">
      <c r="A925" s="2"/>
      <c r="B925" s="2"/>
      <c r="C925" s="2"/>
      <c r="D925" s="2"/>
      <c r="E925" s="2"/>
      <c r="F925" s="2"/>
      <c r="G925" s="2"/>
      <c r="H925" s="2"/>
      <c r="I925" s="2"/>
      <c r="J925" s="2"/>
      <c r="K925" s="2"/>
      <c r="L925" s="2"/>
    </row>
    <row r="926" ht="15.75" customHeight="1">
      <c r="A926" s="2"/>
      <c r="B926" s="2"/>
      <c r="C926" s="2"/>
      <c r="D926" s="2"/>
      <c r="E926" s="2"/>
      <c r="F926" s="2"/>
      <c r="G926" s="2"/>
      <c r="H926" s="2"/>
      <c r="I926" s="2"/>
      <c r="J926" s="2"/>
      <c r="K926" s="2"/>
      <c r="L926" s="2"/>
    </row>
    <row r="927" ht="15.75" customHeight="1">
      <c r="A927" s="2"/>
      <c r="B927" s="2"/>
      <c r="C927" s="2"/>
      <c r="D927" s="2"/>
      <c r="E927" s="2"/>
      <c r="F927" s="2"/>
      <c r="G927" s="2"/>
      <c r="H927" s="2"/>
      <c r="I927" s="2"/>
      <c r="J927" s="2"/>
      <c r="K927" s="2"/>
      <c r="L927" s="2"/>
    </row>
    <row r="928" ht="15.75" customHeight="1">
      <c r="A928" s="2"/>
      <c r="B928" s="2"/>
      <c r="C928" s="2"/>
      <c r="D928" s="2"/>
      <c r="E928" s="2"/>
      <c r="F928" s="2"/>
      <c r="G928" s="2"/>
      <c r="H928" s="2"/>
      <c r="I928" s="2"/>
      <c r="J928" s="2"/>
      <c r="K928" s="2"/>
      <c r="L928" s="2"/>
    </row>
    <row r="929" ht="15.75" customHeight="1">
      <c r="A929" s="2"/>
      <c r="B929" s="2"/>
      <c r="C929" s="2"/>
      <c r="D929" s="2"/>
      <c r="E929" s="2"/>
      <c r="F929" s="2"/>
      <c r="G929" s="2"/>
      <c r="H929" s="2"/>
      <c r="I929" s="2"/>
      <c r="J929" s="2"/>
      <c r="K929" s="2"/>
      <c r="L929" s="2"/>
    </row>
    <row r="930" ht="15.75" customHeight="1">
      <c r="A930" s="2"/>
      <c r="B930" s="2"/>
      <c r="C930" s="2"/>
      <c r="D930" s="2"/>
      <c r="E930" s="2"/>
      <c r="F930" s="2"/>
      <c r="G930" s="2"/>
      <c r="H930" s="2"/>
      <c r="I930" s="2"/>
      <c r="J930" s="2"/>
      <c r="K930" s="2"/>
      <c r="L930" s="2"/>
    </row>
    <row r="931" ht="15.75" customHeight="1">
      <c r="A931" s="2"/>
      <c r="B931" s="2"/>
      <c r="C931" s="2"/>
      <c r="D931" s="2"/>
      <c r="E931" s="2"/>
      <c r="F931" s="2"/>
      <c r="G931" s="2"/>
      <c r="H931" s="2"/>
      <c r="I931" s="2"/>
      <c r="J931" s="2"/>
      <c r="K931" s="2"/>
      <c r="L931" s="2"/>
    </row>
    <row r="932" ht="15.75" customHeight="1">
      <c r="A932" s="2"/>
      <c r="B932" s="2"/>
      <c r="C932" s="2"/>
      <c r="D932" s="2"/>
      <c r="E932" s="2"/>
      <c r="F932" s="2"/>
      <c r="G932" s="2"/>
      <c r="H932" s="2"/>
      <c r="I932" s="2"/>
      <c r="J932" s="2"/>
      <c r="K932" s="2"/>
      <c r="L932" s="2"/>
    </row>
    <row r="933" ht="15.75" customHeight="1">
      <c r="A933" s="2"/>
      <c r="B933" s="2"/>
      <c r="C933" s="2"/>
      <c r="D933" s="2"/>
      <c r="E933" s="2"/>
      <c r="F933" s="2"/>
      <c r="G933" s="2"/>
      <c r="H933" s="2"/>
      <c r="I933" s="2"/>
      <c r="J933" s="2"/>
      <c r="K933" s="2"/>
      <c r="L933" s="2"/>
    </row>
    <row r="934" ht="15.75" customHeight="1">
      <c r="A934" s="2"/>
      <c r="B934" s="2"/>
      <c r="C934" s="2"/>
      <c r="D934" s="2"/>
      <c r="E934" s="2"/>
      <c r="F934" s="2"/>
      <c r="G934" s="2"/>
      <c r="H934" s="2"/>
      <c r="I934" s="2"/>
      <c r="J934" s="2"/>
      <c r="K934" s="2"/>
      <c r="L934" s="2"/>
    </row>
    <row r="935" ht="15.75" customHeight="1">
      <c r="A935" s="2"/>
      <c r="B935" s="2"/>
      <c r="C935" s="2"/>
      <c r="D935" s="2"/>
      <c r="E935" s="2"/>
      <c r="F935" s="2"/>
      <c r="G935" s="2"/>
      <c r="H935" s="2"/>
      <c r="I935" s="2"/>
      <c r="J935" s="2"/>
      <c r="K935" s="2"/>
      <c r="L935" s="2"/>
    </row>
    <row r="936" ht="15.75" customHeight="1">
      <c r="A936" s="2"/>
      <c r="B936" s="2"/>
      <c r="C936" s="2"/>
      <c r="D936" s="2"/>
      <c r="E936" s="2"/>
      <c r="F936" s="2"/>
      <c r="G936" s="2"/>
      <c r="H936" s="2"/>
      <c r="I936" s="2"/>
      <c r="J936" s="2"/>
      <c r="K936" s="2"/>
      <c r="L936" s="2"/>
    </row>
    <row r="937" ht="15.75" customHeight="1">
      <c r="A937" s="2"/>
      <c r="B937" s="2"/>
      <c r="C937" s="2"/>
      <c r="D937" s="2"/>
      <c r="E937" s="2"/>
      <c r="F937" s="2"/>
      <c r="G937" s="2"/>
      <c r="H937" s="2"/>
      <c r="I937" s="2"/>
      <c r="J937" s="2"/>
      <c r="K937" s="2"/>
      <c r="L937" s="2"/>
    </row>
    <row r="938" ht="15.75" customHeight="1">
      <c r="A938" s="2"/>
      <c r="B938" s="2"/>
      <c r="C938" s="2"/>
      <c r="D938" s="2"/>
      <c r="E938" s="2"/>
      <c r="F938" s="2"/>
      <c r="G938" s="2"/>
      <c r="H938" s="2"/>
      <c r="I938" s="2"/>
      <c r="J938" s="2"/>
      <c r="K938" s="2"/>
      <c r="L938" s="2"/>
    </row>
    <row r="939" ht="15.75" customHeight="1">
      <c r="A939" s="2"/>
      <c r="B939" s="2"/>
      <c r="C939" s="2"/>
      <c r="D939" s="2"/>
      <c r="E939" s="2"/>
      <c r="F939" s="2"/>
      <c r="G939" s="2"/>
      <c r="H939" s="2"/>
      <c r="I939" s="2"/>
      <c r="J939" s="2"/>
      <c r="K939" s="2"/>
      <c r="L939" s="2"/>
    </row>
    <row r="940" ht="15.75" customHeight="1">
      <c r="A940" s="2"/>
      <c r="B940" s="2"/>
      <c r="C940" s="2"/>
      <c r="D940" s="2"/>
      <c r="E940" s="2"/>
      <c r="F940" s="2"/>
      <c r="G940" s="2"/>
      <c r="H940" s="2"/>
      <c r="I940" s="2"/>
      <c r="J940" s="2"/>
      <c r="K940" s="2"/>
      <c r="L940" s="2"/>
    </row>
    <row r="941" ht="15.75" customHeight="1">
      <c r="A941" s="2"/>
      <c r="B941" s="2"/>
      <c r="C941" s="2"/>
      <c r="D941" s="2"/>
      <c r="E941" s="2"/>
      <c r="F941" s="2"/>
      <c r="G941" s="2"/>
      <c r="H941" s="2"/>
      <c r="I941" s="2"/>
      <c r="J941" s="2"/>
      <c r="K941" s="2"/>
      <c r="L941" s="2"/>
    </row>
    <row r="942" ht="15.75" customHeight="1">
      <c r="A942" s="2"/>
      <c r="B942" s="2"/>
      <c r="C942" s="2"/>
      <c r="D942" s="2"/>
      <c r="E942" s="2"/>
      <c r="F942" s="2"/>
      <c r="G942" s="2"/>
      <c r="H942" s="2"/>
      <c r="I942" s="2"/>
      <c r="J942" s="2"/>
      <c r="K942" s="2"/>
      <c r="L942" s="2"/>
    </row>
    <row r="943" ht="15.75" customHeight="1">
      <c r="A943" s="2"/>
      <c r="B943" s="2"/>
      <c r="C943" s="2"/>
      <c r="D943" s="2"/>
      <c r="E943" s="2"/>
      <c r="F943" s="2"/>
      <c r="G943" s="2"/>
      <c r="H943" s="2"/>
      <c r="I943" s="2"/>
      <c r="J943" s="2"/>
      <c r="K943" s="2"/>
      <c r="L943" s="2"/>
    </row>
    <row r="944" ht="15.75" customHeight="1">
      <c r="A944" s="2"/>
      <c r="B944" s="2"/>
      <c r="C944" s="2"/>
      <c r="D944" s="2"/>
      <c r="E944" s="2"/>
      <c r="F944" s="2"/>
      <c r="G944" s="2"/>
      <c r="H944" s="2"/>
      <c r="I944" s="2"/>
      <c r="J944" s="2"/>
      <c r="K944" s="2"/>
      <c r="L944" s="2"/>
    </row>
    <row r="945" ht="15.75" customHeight="1">
      <c r="A945" s="2"/>
      <c r="B945" s="2"/>
      <c r="C945" s="2"/>
      <c r="D945" s="2"/>
      <c r="E945" s="2"/>
      <c r="F945" s="2"/>
      <c r="G945" s="2"/>
      <c r="H945" s="2"/>
      <c r="I945" s="2"/>
      <c r="J945" s="2"/>
      <c r="K945" s="2"/>
      <c r="L945" s="2"/>
    </row>
    <row r="946" ht="15.75" customHeight="1">
      <c r="A946" s="2"/>
      <c r="B946" s="2"/>
      <c r="C946" s="2"/>
      <c r="D946" s="2"/>
      <c r="E946" s="2"/>
      <c r="F946" s="2"/>
      <c r="G946" s="2"/>
      <c r="H946" s="2"/>
      <c r="I946" s="2"/>
      <c r="J946" s="2"/>
      <c r="K946" s="2"/>
      <c r="L946" s="2"/>
    </row>
    <row r="947" ht="15.75" customHeight="1">
      <c r="A947" s="2"/>
      <c r="B947" s="2"/>
      <c r="C947" s="2"/>
      <c r="D947" s="2"/>
      <c r="E947" s="2"/>
      <c r="F947" s="2"/>
      <c r="G947" s="2"/>
      <c r="H947" s="2"/>
      <c r="I947" s="2"/>
      <c r="J947" s="2"/>
      <c r="K947" s="2"/>
      <c r="L947" s="2"/>
    </row>
    <row r="948" ht="15.75" customHeight="1">
      <c r="A948" s="2"/>
      <c r="B948" s="2"/>
      <c r="C948" s="2"/>
      <c r="D948" s="2"/>
      <c r="E948" s="2"/>
      <c r="F948" s="2"/>
      <c r="G948" s="2"/>
      <c r="H948" s="2"/>
      <c r="I948" s="2"/>
      <c r="J948" s="2"/>
      <c r="K948" s="2"/>
      <c r="L948" s="2"/>
    </row>
    <row r="949" ht="15.75" customHeight="1">
      <c r="A949" s="2"/>
      <c r="B949" s="2"/>
      <c r="C949" s="2"/>
      <c r="D949" s="2"/>
      <c r="E949" s="2"/>
      <c r="F949" s="2"/>
      <c r="G949" s="2"/>
      <c r="H949" s="2"/>
      <c r="I949" s="2"/>
      <c r="J949" s="2"/>
      <c r="K949" s="2"/>
      <c r="L949" s="2"/>
    </row>
    <row r="950" ht="15.75" customHeight="1">
      <c r="A950" s="2"/>
      <c r="B950" s="2"/>
      <c r="C950" s="2"/>
      <c r="D950" s="2"/>
      <c r="E950" s="2"/>
      <c r="F950" s="2"/>
      <c r="G950" s="2"/>
      <c r="H950" s="2"/>
      <c r="I950" s="2"/>
      <c r="J950" s="2"/>
      <c r="K950" s="2"/>
      <c r="L950" s="2"/>
    </row>
    <row r="951" ht="15.75" customHeight="1">
      <c r="A951" s="2"/>
      <c r="B951" s="2"/>
      <c r="C951" s="2"/>
      <c r="D951" s="2"/>
      <c r="E951" s="2"/>
      <c r="F951" s="2"/>
      <c r="G951" s="2"/>
      <c r="H951" s="2"/>
      <c r="I951" s="2"/>
      <c r="J951" s="2"/>
      <c r="K951" s="2"/>
      <c r="L951" s="2"/>
    </row>
    <row r="952" ht="15.75" customHeight="1">
      <c r="A952" s="2"/>
      <c r="B952" s="2"/>
      <c r="C952" s="2"/>
      <c r="D952" s="2"/>
      <c r="E952" s="2"/>
      <c r="F952" s="2"/>
      <c r="G952" s="2"/>
      <c r="H952" s="2"/>
      <c r="I952" s="2"/>
      <c r="J952" s="2"/>
      <c r="K952" s="2"/>
      <c r="L952" s="2"/>
    </row>
    <row r="953" ht="15.75" customHeight="1">
      <c r="A953" s="2"/>
      <c r="B953" s="2"/>
      <c r="C953" s="2"/>
      <c r="D953" s="2"/>
      <c r="E953" s="2"/>
      <c r="F953" s="2"/>
      <c r="G953" s="2"/>
      <c r="H953" s="2"/>
      <c r="I953" s="2"/>
      <c r="J953" s="2"/>
      <c r="K953" s="2"/>
      <c r="L953" s="2"/>
    </row>
    <row r="954" ht="15.75" customHeight="1">
      <c r="A954" s="2"/>
      <c r="B954" s="2"/>
      <c r="C954" s="2"/>
      <c r="D954" s="2"/>
      <c r="E954" s="2"/>
      <c r="F954" s="2"/>
      <c r="G954" s="2"/>
      <c r="H954" s="2"/>
      <c r="I954" s="2"/>
      <c r="J954" s="2"/>
      <c r="K954" s="2"/>
      <c r="L954" s="2"/>
    </row>
    <row r="955" ht="15.75" customHeight="1">
      <c r="A955" s="2"/>
      <c r="B955" s="2"/>
      <c r="C955" s="2"/>
      <c r="D955" s="2"/>
      <c r="E955" s="2"/>
      <c r="F955" s="2"/>
      <c r="G955" s="2"/>
      <c r="H955" s="2"/>
      <c r="I955" s="2"/>
      <c r="J955" s="2"/>
      <c r="K955" s="2"/>
      <c r="L955" s="2"/>
    </row>
    <row r="956" ht="15.75" customHeight="1">
      <c r="A956" s="2"/>
      <c r="B956" s="2"/>
      <c r="C956" s="2"/>
      <c r="D956" s="2"/>
      <c r="E956" s="2"/>
      <c r="F956" s="2"/>
      <c r="G956" s="2"/>
      <c r="H956" s="2"/>
      <c r="I956" s="2"/>
      <c r="J956" s="2"/>
      <c r="K956" s="2"/>
      <c r="L956" s="2"/>
    </row>
    <row r="957" ht="15.75" customHeight="1">
      <c r="A957" s="2"/>
      <c r="B957" s="2"/>
      <c r="C957" s="2"/>
      <c r="D957" s="2"/>
      <c r="E957" s="2"/>
      <c r="F957" s="2"/>
      <c r="G957" s="2"/>
      <c r="H957" s="2"/>
      <c r="I957" s="2"/>
      <c r="J957" s="2"/>
      <c r="K957" s="2"/>
      <c r="L957" s="2"/>
    </row>
    <row r="958" ht="15.75" customHeight="1">
      <c r="A958" s="2"/>
      <c r="B958" s="2"/>
      <c r="C958" s="2"/>
      <c r="D958" s="2"/>
      <c r="E958" s="2"/>
      <c r="F958" s="2"/>
      <c r="G958" s="2"/>
      <c r="H958" s="2"/>
      <c r="I958" s="2"/>
      <c r="J958" s="2"/>
      <c r="K958" s="2"/>
      <c r="L958" s="2"/>
    </row>
    <row r="959" ht="15.75" customHeight="1">
      <c r="A959" s="2"/>
      <c r="B959" s="2"/>
      <c r="C959" s="2"/>
      <c r="D959" s="2"/>
      <c r="E959" s="2"/>
      <c r="F959" s="2"/>
      <c r="G959" s="2"/>
      <c r="H959" s="2"/>
      <c r="I959" s="2"/>
      <c r="J959" s="2"/>
      <c r="K959" s="2"/>
      <c r="L959" s="2"/>
    </row>
    <row r="960" ht="15.75" customHeight="1">
      <c r="A960" s="2"/>
      <c r="B960" s="2"/>
      <c r="C960" s="2"/>
      <c r="D960" s="2"/>
      <c r="E960" s="2"/>
      <c r="F960" s="2"/>
      <c r="G960" s="2"/>
      <c r="H960" s="2"/>
      <c r="I960" s="2"/>
      <c r="J960" s="2"/>
      <c r="K960" s="2"/>
      <c r="L960" s="2"/>
    </row>
    <row r="961" ht="15.75" customHeight="1">
      <c r="A961" s="2"/>
      <c r="B961" s="2"/>
      <c r="C961" s="2"/>
      <c r="D961" s="2"/>
      <c r="E961" s="2"/>
      <c r="F961" s="2"/>
      <c r="G961" s="2"/>
      <c r="H961" s="2"/>
      <c r="I961" s="2"/>
      <c r="J961" s="2"/>
      <c r="K961" s="2"/>
      <c r="L961" s="2"/>
    </row>
    <row r="962" ht="15.75" customHeight="1">
      <c r="A962" s="2"/>
      <c r="B962" s="2"/>
      <c r="C962" s="2"/>
      <c r="D962" s="2"/>
      <c r="E962" s="2"/>
      <c r="F962" s="2"/>
      <c r="G962" s="2"/>
      <c r="H962" s="2"/>
      <c r="I962" s="2"/>
      <c r="J962" s="2"/>
      <c r="K962" s="2"/>
      <c r="L962" s="2"/>
    </row>
    <row r="963" ht="15.75" customHeight="1">
      <c r="A963" s="2"/>
      <c r="B963" s="2"/>
      <c r="C963" s="2"/>
      <c r="D963" s="2"/>
      <c r="E963" s="2"/>
      <c r="F963" s="2"/>
      <c r="G963" s="2"/>
      <c r="H963" s="2"/>
      <c r="I963" s="2"/>
      <c r="J963" s="2"/>
      <c r="K963" s="2"/>
      <c r="L963" s="2"/>
    </row>
    <row r="964" ht="15.75" customHeight="1">
      <c r="A964" s="2"/>
      <c r="B964" s="2"/>
      <c r="C964" s="2"/>
      <c r="D964" s="2"/>
      <c r="E964" s="2"/>
      <c r="F964" s="2"/>
      <c r="G964" s="2"/>
      <c r="H964" s="2"/>
      <c r="I964" s="2"/>
      <c r="J964" s="2"/>
      <c r="K964" s="2"/>
      <c r="L964" s="2"/>
    </row>
    <row r="965" ht="15.75" customHeight="1">
      <c r="A965" s="2"/>
      <c r="B965" s="2"/>
      <c r="C965" s="2"/>
      <c r="D965" s="2"/>
      <c r="E965" s="2"/>
      <c r="F965" s="2"/>
      <c r="G965" s="2"/>
      <c r="H965" s="2"/>
      <c r="I965" s="2"/>
      <c r="J965" s="2"/>
      <c r="K965" s="2"/>
      <c r="L965" s="2"/>
    </row>
    <row r="966" ht="15.75" customHeight="1">
      <c r="A966" s="2"/>
      <c r="B966" s="2"/>
      <c r="C966" s="2"/>
      <c r="D966" s="2"/>
      <c r="E966" s="2"/>
      <c r="F966" s="2"/>
      <c r="G966" s="2"/>
      <c r="H966" s="2"/>
      <c r="I966" s="2"/>
      <c r="J966" s="2"/>
      <c r="K966" s="2"/>
      <c r="L966" s="2"/>
    </row>
    <row r="967" ht="15.75" customHeight="1">
      <c r="A967" s="2"/>
      <c r="B967" s="2"/>
      <c r="C967" s="2"/>
      <c r="D967" s="2"/>
      <c r="E967" s="2"/>
      <c r="F967" s="2"/>
      <c r="G967" s="2"/>
      <c r="H967" s="2"/>
      <c r="I967" s="2"/>
      <c r="J967" s="2"/>
      <c r="K967" s="2"/>
      <c r="L967" s="2"/>
    </row>
    <row r="968" ht="15.75" customHeight="1">
      <c r="A968" s="2"/>
      <c r="B968" s="2"/>
      <c r="C968" s="2"/>
      <c r="D968" s="2"/>
      <c r="E968" s="2"/>
      <c r="F968" s="2"/>
      <c r="G968" s="2"/>
      <c r="H968" s="2"/>
      <c r="I968" s="2"/>
      <c r="J968" s="2"/>
      <c r="K968" s="2"/>
      <c r="L968" s="2"/>
    </row>
    <row r="969" ht="15.75" customHeight="1">
      <c r="A969" s="2"/>
      <c r="B969" s="2"/>
      <c r="C969" s="2"/>
      <c r="D969" s="2"/>
      <c r="E969" s="2"/>
      <c r="F969" s="2"/>
      <c r="G969" s="2"/>
      <c r="H969" s="2"/>
      <c r="I969" s="2"/>
      <c r="J969" s="2"/>
      <c r="K969" s="2"/>
      <c r="L969" s="2"/>
    </row>
    <row r="970" ht="15.75" customHeight="1">
      <c r="A970" s="2"/>
      <c r="B970" s="2"/>
      <c r="C970" s="2"/>
      <c r="D970" s="2"/>
      <c r="E970" s="2"/>
      <c r="F970" s="2"/>
      <c r="G970" s="2"/>
      <c r="H970" s="2"/>
      <c r="I970" s="2"/>
      <c r="J970" s="2"/>
      <c r="K970" s="2"/>
      <c r="L970" s="2"/>
    </row>
    <row r="971" ht="15.75" customHeight="1">
      <c r="A971" s="2"/>
      <c r="B971" s="2"/>
      <c r="C971" s="2"/>
      <c r="D971" s="2"/>
      <c r="E971" s="2"/>
      <c r="F971" s="2"/>
      <c r="G971" s="2"/>
      <c r="H971" s="2"/>
      <c r="I971" s="2"/>
      <c r="J971" s="2"/>
      <c r="K971" s="2"/>
      <c r="L971" s="2"/>
    </row>
    <row r="972" ht="15.75" customHeight="1">
      <c r="A972" s="2"/>
      <c r="B972" s="2"/>
      <c r="C972" s="2"/>
      <c r="D972" s="2"/>
      <c r="E972" s="2"/>
      <c r="F972" s="2"/>
      <c r="G972" s="2"/>
      <c r="H972" s="2"/>
      <c r="I972" s="2"/>
      <c r="J972" s="2"/>
      <c r="K972" s="2"/>
      <c r="L972" s="2"/>
    </row>
    <row r="973" ht="15.75" customHeight="1">
      <c r="A973" s="2"/>
      <c r="B973" s="2"/>
      <c r="C973" s="2"/>
      <c r="D973" s="2"/>
      <c r="E973" s="2"/>
      <c r="F973" s="2"/>
      <c r="G973" s="2"/>
      <c r="H973" s="2"/>
      <c r="I973" s="2"/>
      <c r="J973" s="2"/>
      <c r="K973" s="2"/>
      <c r="L973" s="2"/>
    </row>
    <row r="974" ht="15.75" customHeight="1">
      <c r="A974" s="2"/>
      <c r="B974" s="2"/>
      <c r="C974" s="2"/>
      <c r="D974" s="2"/>
      <c r="E974" s="2"/>
      <c r="F974" s="2"/>
      <c r="G974" s="2"/>
      <c r="H974" s="2"/>
      <c r="I974" s="2"/>
      <c r="J974" s="2"/>
      <c r="K974" s="2"/>
      <c r="L974" s="2"/>
    </row>
    <row r="975" ht="15.75" customHeight="1">
      <c r="A975" s="2"/>
      <c r="B975" s="2"/>
      <c r="C975" s="2"/>
      <c r="D975" s="2"/>
      <c r="E975" s="2"/>
      <c r="F975" s="2"/>
      <c r="G975" s="2"/>
      <c r="H975" s="2"/>
      <c r="I975" s="2"/>
      <c r="J975" s="2"/>
      <c r="K975" s="2"/>
      <c r="L975" s="2"/>
    </row>
    <row r="976" ht="15.75" customHeight="1">
      <c r="A976" s="2"/>
      <c r="B976" s="2"/>
      <c r="C976" s="2"/>
      <c r="D976" s="2"/>
      <c r="E976" s="2"/>
      <c r="F976" s="2"/>
      <c r="G976" s="2"/>
      <c r="H976" s="2"/>
      <c r="I976" s="2"/>
      <c r="J976" s="2"/>
      <c r="K976" s="2"/>
      <c r="L976" s="2"/>
    </row>
    <row r="977" ht="15.75" customHeight="1">
      <c r="A977" s="2"/>
      <c r="B977" s="2"/>
      <c r="C977" s="2"/>
      <c r="D977" s="2"/>
      <c r="E977" s="2"/>
      <c r="F977" s="2"/>
      <c r="G977" s="2"/>
      <c r="H977" s="2"/>
      <c r="I977" s="2"/>
      <c r="J977" s="2"/>
      <c r="K977" s="2"/>
      <c r="L977" s="2"/>
    </row>
    <row r="978" ht="15.75" customHeight="1">
      <c r="A978" s="2"/>
      <c r="B978" s="2"/>
      <c r="C978" s="2"/>
      <c r="D978" s="2"/>
      <c r="E978" s="2"/>
      <c r="F978" s="2"/>
      <c r="G978" s="2"/>
      <c r="H978" s="2"/>
      <c r="I978" s="2"/>
      <c r="J978" s="2"/>
      <c r="K978" s="2"/>
      <c r="L978" s="2"/>
    </row>
    <row r="979" ht="15.75" customHeight="1">
      <c r="A979" s="2"/>
      <c r="B979" s="2"/>
      <c r="C979" s="2"/>
      <c r="D979" s="2"/>
      <c r="E979" s="2"/>
      <c r="F979" s="2"/>
      <c r="G979" s="2"/>
      <c r="H979" s="2"/>
      <c r="I979" s="2"/>
      <c r="J979" s="2"/>
      <c r="K979" s="2"/>
      <c r="L979" s="2"/>
    </row>
    <row r="980" ht="15.75" customHeight="1">
      <c r="A980" s="2"/>
      <c r="B980" s="2"/>
      <c r="C980" s="2"/>
      <c r="D980" s="2"/>
      <c r="E980" s="2"/>
      <c r="F980" s="2"/>
      <c r="G980" s="2"/>
      <c r="H980" s="2"/>
      <c r="I980" s="2"/>
      <c r="J980" s="2"/>
      <c r="K980" s="2"/>
      <c r="L980" s="2"/>
    </row>
    <row r="981" ht="15.75" customHeight="1">
      <c r="A981" s="2"/>
      <c r="B981" s="2"/>
      <c r="C981" s="2"/>
      <c r="D981" s="2"/>
      <c r="E981" s="2"/>
      <c r="F981" s="2"/>
      <c r="G981" s="2"/>
      <c r="H981" s="2"/>
      <c r="I981" s="2"/>
      <c r="J981" s="2"/>
      <c r="K981" s="2"/>
      <c r="L981" s="2"/>
    </row>
    <row r="982" ht="15.75" customHeight="1">
      <c r="A982" s="2"/>
      <c r="B982" s="2"/>
      <c r="C982" s="2"/>
      <c r="D982" s="2"/>
      <c r="E982" s="2"/>
      <c r="F982" s="2"/>
      <c r="G982" s="2"/>
      <c r="H982" s="2"/>
      <c r="I982" s="2"/>
      <c r="J982" s="2"/>
      <c r="K982" s="2"/>
      <c r="L982" s="2"/>
    </row>
    <row r="983" ht="15.75" customHeight="1">
      <c r="A983" s="2"/>
      <c r="B983" s="2"/>
      <c r="C983" s="2"/>
      <c r="D983" s="2"/>
      <c r="E983" s="2"/>
      <c r="F983" s="2"/>
      <c r="G983" s="2"/>
      <c r="H983" s="2"/>
      <c r="I983" s="2"/>
      <c r="J983" s="2"/>
      <c r="K983" s="2"/>
      <c r="L983" s="2"/>
    </row>
    <row r="984" ht="15.75" customHeight="1">
      <c r="A984" s="2"/>
      <c r="B984" s="2"/>
      <c r="C984" s="2"/>
      <c r="D984" s="2"/>
      <c r="E984" s="2"/>
      <c r="F984" s="2"/>
      <c r="G984" s="2"/>
      <c r="H984" s="2"/>
      <c r="I984" s="2"/>
      <c r="J984" s="2"/>
      <c r="K984" s="2"/>
      <c r="L984" s="2"/>
    </row>
    <row r="985" ht="15.75" customHeight="1">
      <c r="A985" s="2"/>
      <c r="B985" s="2"/>
      <c r="C985" s="2"/>
      <c r="D985" s="2"/>
      <c r="E985" s="2"/>
      <c r="F985" s="2"/>
      <c r="G985" s="2"/>
      <c r="H985" s="2"/>
      <c r="I985" s="2"/>
      <c r="J985" s="2"/>
      <c r="K985" s="2"/>
      <c r="L985" s="2"/>
    </row>
    <row r="986" ht="15.75" customHeight="1">
      <c r="A986" s="2"/>
      <c r="B986" s="2"/>
      <c r="C986" s="2"/>
      <c r="D986" s="2"/>
      <c r="E986" s="2"/>
      <c r="F986" s="2"/>
      <c r="G986" s="2"/>
      <c r="H986" s="2"/>
      <c r="I986" s="2"/>
      <c r="J986" s="2"/>
      <c r="K986" s="2"/>
      <c r="L986" s="2"/>
    </row>
    <row r="987" ht="15.75" customHeight="1">
      <c r="A987" s="2"/>
      <c r="B987" s="2"/>
      <c r="C987" s="2"/>
      <c r="D987" s="2"/>
      <c r="E987" s="2"/>
      <c r="F987" s="2"/>
      <c r="G987" s="2"/>
      <c r="H987" s="2"/>
      <c r="I987" s="2"/>
      <c r="J987" s="2"/>
      <c r="K987" s="2"/>
      <c r="L987" s="2"/>
    </row>
    <row r="988" ht="15.75" customHeight="1">
      <c r="A988" s="2"/>
      <c r="B988" s="2"/>
      <c r="C988" s="2"/>
      <c r="D988" s="2"/>
      <c r="E988" s="2"/>
      <c r="F988" s="2"/>
      <c r="G988" s="2"/>
      <c r="H988" s="2"/>
      <c r="I988" s="2"/>
      <c r="J988" s="2"/>
      <c r="K988" s="2"/>
      <c r="L988" s="2"/>
    </row>
    <row r="989" ht="15.75" customHeight="1">
      <c r="A989" s="2"/>
      <c r="B989" s="2"/>
      <c r="C989" s="2"/>
      <c r="D989" s="2"/>
      <c r="E989" s="2"/>
      <c r="F989" s="2"/>
      <c r="G989" s="2"/>
      <c r="H989" s="2"/>
      <c r="I989" s="2"/>
      <c r="J989" s="2"/>
      <c r="K989" s="2"/>
      <c r="L989" s="2"/>
    </row>
    <row r="990" ht="15.75" customHeight="1">
      <c r="A990" s="2"/>
      <c r="B990" s="2"/>
      <c r="C990" s="2"/>
      <c r="D990" s="2"/>
      <c r="E990" s="2"/>
      <c r="F990" s="2"/>
      <c r="G990" s="2"/>
      <c r="H990" s="2"/>
      <c r="I990" s="2"/>
      <c r="J990" s="2"/>
      <c r="K990" s="2"/>
      <c r="L990" s="2"/>
    </row>
    <row r="991" ht="15.75" customHeight="1">
      <c r="A991" s="2"/>
      <c r="B991" s="2"/>
      <c r="C991" s="2"/>
      <c r="D991" s="2"/>
      <c r="E991" s="2"/>
      <c r="F991" s="2"/>
      <c r="G991" s="2"/>
      <c r="H991" s="2"/>
      <c r="I991" s="2"/>
      <c r="J991" s="2"/>
      <c r="K991" s="2"/>
      <c r="L991" s="2"/>
    </row>
    <row r="992" ht="15.75" customHeight="1">
      <c r="A992" s="2"/>
      <c r="B992" s="2"/>
      <c r="C992" s="2"/>
      <c r="D992" s="2"/>
      <c r="E992" s="2"/>
      <c r="F992" s="2"/>
      <c r="G992" s="2"/>
      <c r="H992" s="2"/>
      <c r="I992" s="2"/>
      <c r="J992" s="2"/>
      <c r="K992" s="2"/>
      <c r="L992" s="2"/>
    </row>
    <row r="993" ht="15.75" customHeight="1">
      <c r="A993" s="2"/>
      <c r="B993" s="2"/>
      <c r="C993" s="2"/>
      <c r="D993" s="2"/>
      <c r="E993" s="2"/>
      <c r="F993" s="2"/>
      <c r="G993" s="2"/>
      <c r="H993" s="2"/>
      <c r="I993" s="2"/>
      <c r="J993" s="2"/>
      <c r="K993" s="2"/>
      <c r="L993" s="2"/>
    </row>
    <row r="994" ht="15.75" customHeight="1">
      <c r="A994" s="2"/>
      <c r="B994" s="2"/>
      <c r="C994" s="2"/>
      <c r="D994" s="2"/>
      <c r="E994" s="2"/>
      <c r="F994" s="2"/>
      <c r="G994" s="2"/>
      <c r="H994" s="2"/>
      <c r="I994" s="2"/>
      <c r="J994" s="2"/>
      <c r="K994" s="2"/>
      <c r="L994" s="2"/>
    </row>
    <row r="995" ht="15.75" customHeight="1">
      <c r="A995" s="2"/>
      <c r="B995" s="2"/>
      <c r="C995" s="2"/>
      <c r="D995" s="2"/>
      <c r="E995" s="2"/>
      <c r="F995" s="2"/>
      <c r="G995" s="2"/>
      <c r="H995" s="2"/>
      <c r="I995" s="2"/>
      <c r="J995" s="2"/>
      <c r="K995" s="2"/>
      <c r="L995" s="2"/>
    </row>
    <row r="996" ht="15.75" customHeight="1">
      <c r="A996" s="2"/>
      <c r="B996" s="2"/>
      <c r="C996" s="2"/>
      <c r="D996" s="2"/>
      <c r="E996" s="2"/>
      <c r="F996" s="2"/>
      <c r="G996" s="2"/>
      <c r="H996" s="2"/>
      <c r="I996" s="2"/>
      <c r="J996" s="2"/>
      <c r="K996" s="2"/>
      <c r="L996" s="2"/>
    </row>
    <row r="997" ht="15.75" customHeight="1">
      <c r="A997" s="2"/>
      <c r="B997" s="2"/>
      <c r="C997" s="2"/>
      <c r="D997" s="2"/>
      <c r="E997" s="2"/>
      <c r="F997" s="2"/>
      <c r="G997" s="2"/>
      <c r="H997" s="2"/>
      <c r="I997" s="2"/>
      <c r="J997" s="2"/>
      <c r="K997" s="2"/>
      <c r="L997" s="2"/>
    </row>
    <row r="998" ht="15.75" customHeight="1">
      <c r="A998" s="2"/>
      <c r="B998" s="2"/>
      <c r="C998" s="2"/>
      <c r="D998" s="2"/>
      <c r="E998" s="2"/>
      <c r="F998" s="2"/>
      <c r="G998" s="2"/>
      <c r="H998" s="2"/>
      <c r="I998" s="2"/>
      <c r="J998" s="2"/>
      <c r="K998" s="2"/>
      <c r="L998" s="2"/>
    </row>
    <row r="999" ht="15.75" customHeight="1">
      <c r="A999" s="2"/>
      <c r="B999" s="2"/>
      <c r="C999" s="2"/>
      <c r="D999" s="2"/>
      <c r="E999" s="2"/>
      <c r="F999" s="2"/>
      <c r="G999" s="2"/>
      <c r="H999" s="2"/>
      <c r="I999" s="2"/>
      <c r="J999" s="2"/>
      <c r="K999" s="2"/>
      <c r="L999" s="2"/>
    </row>
    <row r="1000" ht="15.75" customHeight="1">
      <c r="A1000" s="2"/>
      <c r="B1000" s="2"/>
      <c r="C1000" s="2"/>
      <c r="D1000" s="2"/>
      <c r="E1000" s="2"/>
      <c r="F1000" s="2"/>
      <c r="G1000" s="2"/>
      <c r="H1000" s="2"/>
      <c r="I1000" s="2"/>
      <c r="J1000" s="2"/>
      <c r="K1000" s="2"/>
      <c r="L1000" s="2"/>
    </row>
  </sheetData>
  <mergeCells count="2">
    <mergeCell ref="A1:G1"/>
    <mergeCell ref="A2:G2"/>
  </mergeCells>
  <dataValidations>
    <dataValidation type="list" allowBlank="1" showInputMessage="1" showErrorMessage="1" prompt="Valor no admitido - Responda Sí o No." sqref="K5:K201">
      <formula1>"Sí,No"</formula1>
    </dataValidation>
    <dataValidation type="list" allowBlank="1" showInputMessage="1" showErrorMessage="1" prompt="Valor no admitido - Sólo se admite Funcional o No funcional." sqref="C5:C201">
      <formula1>"Funcional,No funcional"</formula1>
    </dataValidation>
    <dataValidation type="list" allowBlank="1" showInputMessage="1" showErrorMessage="1" prompt="Valor no admitido - Categoría no prevista por la clasificación de la cátedra." sqref="D5:D201">
      <formula1>"Rendimiento,Fiabilidad,Seguridad,Usabilidad,Mantenibilidad,Portabilidad,Cumplimiento normativo"</formula1>
    </dataValidation>
    <dataValidation type="list" allowBlank="1" showInputMessage="1" showErrorMessage="1" prompt="Valor no admitido - Estados admitidos: Validado, Pendiente o Rechazado por el referente." sqref="I5:I201">
      <formula1>"Validado,Pendiente,Rechazado por el referente"</formula1>
    </dataValidation>
    <dataValidation type="list" allowBlank="1" showInputMessage="1" showErrorMessage="1" prompt="Valor no admitido - Escala MoSCoW: Must, Should, Could o Won't." sqref="E5:E201">
      <formula1>"Must,Should,Could,Won't"</formula1>
    </dataValidation>
  </dataValidations>
  <printOptions/>
  <pageMargins bottom="1.0" footer="0.0" header="0.0" left="0.75" right="0.75" top="1.0"/>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43"/>
    <col customWidth="1" min="2" max="2" width="96.29"/>
    <col customWidth="1" min="3" max="3" width="54.0"/>
    <col customWidth="1" min="4" max="4" width="14.0"/>
    <col customWidth="1" min="5" max="5" width="69.0"/>
    <col customWidth="1" min="6" max="6" width="24.0"/>
  </cols>
  <sheetData>
    <row r="1" ht="30.75" customHeight="1">
      <c r="A1" s="14" t="s">
        <v>131</v>
      </c>
      <c r="H1" s="2"/>
      <c r="I1" s="2"/>
      <c r="J1" s="2"/>
      <c r="K1" s="2"/>
      <c r="L1" s="2"/>
      <c r="M1" s="2"/>
      <c r="N1" s="2"/>
      <c r="O1" s="2"/>
      <c r="P1" s="2"/>
      <c r="Q1" s="2"/>
      <c r="R1" s="2"/>
      <c r="S1" s="2"/>
      <c r="T1" s="2"/>
      <c r="U1" s="2"/>
      <c r="V1" s="2"/>
      <c r="W1" s="2"/>
      <c r="X1" s="2"/>
      <c r="Y1" s="2"/>
      <c r="Z1" s="2"/>
    </row>
    <row r="2" ht="30.75" customHeight="1">
      <c r="A2" s="15" t="s">
        <v>132</v>
      </c>
      <c r="H2" s="2"/>
      <c r="I2" s="2"/>
      <c r="J2" s="2"/>
      <c r="K2" s="2"/>
      <c r="L2" s="2"/>
      <c r="M2" s="2"/>
      <c r="N2" s="2"/>
      <c r="O2" s="2"/>
      <c r="P2" s="2"/>
      <c r="Q2" s="2"/>
      <c r="R2" s="2"/>
      <c r="S2" s="2"/>
      <c r="T2" s="2"/>
      <c r="U2" s="2"/>
      <c r="V2" s="2"/>
      <c r="W2" s="2"/>
      <c r="X2" s="2"/>
      <c r="Y2" s="2"/>
      <c r="Z2" s="2"/>
    </row>
    <row r="3" ht="12.0" customHeight="1">
      <c r="A3" s="2"/>
      <c r="B3" s="2"/>
      <c r="C3" s="2"/>
      <c r="D3" s="2"/>
      <c r="E3" s="2"/>
      <c r="F3" s="2"/>
      <c r="G3" s="2"/>
      <c r="H3" s="2"/>
      <c r="I3" s="2"/>
      <c r="J3" s="2"/>
      <c r="K3" s="2"/>
      <c r="L3" s="2"/>
      <c r="M3" s="2"/>
      <c r="N3" s="2"/>
      <c r="O3" s="2"/>
      <c r="P3" s="2"/>
      <c r="Q3" s="2"/>
      <c r="R3" s="2"/>
      <c r="S3" s="2"/>
      <c r="T3" s="2"/>
      <c r="U3" s="2"/>
      <c r="V3" s="2"/>
      <c r="W3" s="2"/>
      <c r="X3" s="2"/>
      <c r="Y3" s="2"/>
      <c r="Z3" s="2"/>
    </row>
    <row r="4" ht="45.75" customHeight="1">
      <c r="A4" s="16" t="s">
        <v>133</v>
      </c>
      <c r="B4" s="16" t="s">
        <v>134</v>
      </c>
      <c r="C4" s="16" t="s">
        <v>135</v>
      </c>
      <c r="D4" s="16" t="s">
        <v>136</v>
      </c>
      <c r="E4" s="16" t="s">
        <v>137</v>
      </c>
      <c r="F4" s="16" t="s">
        <v>138</v>
      </c>
      <c r="G4" s="6"/>
      <c r="H4" s="6"/>
      <c r="I4" s="6"/>
      <c r="J4" s="6"/>
      <c r="K4" s="6"/>
      <c r="L4" s="6"/>
      <c r="M4" s="6"/>
      <c r="N4" s="6"/>
      <c r="O4" s="6"/>
      <c r="P4" s="6"/>
      <c r="Q4" s="6"/>
      <c r="R4" s="6"/>
      <c r="S4" s="6"/>
      <c r="T4" s="6"/>
      <c r="U4" s="6"/>
      <c r="V4" s="6"/>
      <c r="W4" s="6"/>
      <c r="X4" s="6"/>
      <c r="Y4" s="6"/>
      <c r="Z4" s="6"/>
    </row>
    <row r="5" ht="34.5" customHeight="1">
      <c r="A5" s="17" t="s">
        <v>139</v>
      </c>
      <c r="B5" s="17" t="s">
        <v>140</v>
      </c>
      <c r="C5" s="17" t="s">
        <v>141</v>
      </c>
      <c r="D5" s="17" t="s">
        <v>37</v>
      </c>
      <c r="E5" s="17"/>
      <c r="F5" s="18" t="str">
        <f t="shared" ref="F5:F61" si="1">IF($A5="","",IF(AND($D5="",$E5=""),"Hallazgo sin destino",IF($D5="","Sin requisito, justificado","Deriva requisito")))</f>
        <v>Deriva requisito</v>
      </c>
      <c r="G5" s="6"/>
      <c r="H5" s="6"/>
      <c r="I5" s="6"/>
      <c r="J5" s="6"/>
      <c r="K5" s="6"/>
      <c r="L5" s="6"/>
      <c r="M5" s="6"/>
      <c r="N5" s="6"/>
      <c r="O5" s="6"/>
      <c r="P5" s="6"/>
      <c r="Q5" s="6"/>
      <c r="R5" s="6"/>
      <c r="S5" s="6"/>
      <c r="T5" s="6"/>
      <c r="U5" s="6"/>
      <c r="V5" s="6"/>
      <c r="W5" s="6"/>
      <c r="X5" s="6"/>
      <c r="Y5" s="6"/>
      <c r="Z5" s="6"/>
    </row>
    <row r="6" ht="34.5" customHeight="1">
      <c r="A6" s="19" t="s">
        <v>142</v>
      </c>
      <c r="B6" s="19" t="s">
        <v>143</v>
      </c>
      <c r="C6" s="19" t="s">
        <v>144</v>
      </c>
      <c r="D6" s="19" t="s">
        <v>37</v>
      </c>
      <c r="E6" s="19"/>
      <c r="F6" s="18" t="str">
        <f t="shared" si="1"/>
        <v>Deriva requisito</v>
      </c>
      <c r="G6" s="6"/>
      <c r="H6" s="6"/>
      <c r="I6" s="6"/>
      <c r="J6" s="6"/>
      <c r="K6" s="6"/>
      <c r="L6" s="6"/>
      <c r="M6" s="6"/>
      <c r="N6" s="6"/>
      <c r="O6" s="6"/>
      <c r="P6" s="6"/>
      <c r="Q6" s="6"/>
      <c r="R6" s="6"/>
      <c r="S6" s="6"/>
      <c r="T6" s="6"/>
      <c r="U6" s="6"/>
      <c r="V6" s="6"/>
      <c r="W6" s="6"/>
      <c r="X6" s="6"/>
      <c r="Y6" s="6"/>
      <c r="Z6" s="6"/>
    </row>
    <row r="7" ht="34.5" customHeight="1">
      <c r="A7" s="17" t="s">
        <v>145</v>
      </c>
      <c r="B7" s="17" t="s">
        <v>146</v>
      </c>
      <c r="C7" s="17" t="s">
        <v>147</v>
      </c>
      <c r="D7" s="17"/>
      <c r="E7" s="17" t="s">
        <v>148</v>
      </c>
      <c r="F7" s="18" t="str">
        <f t="shared" si="1"/>
        <v>Sin requisito, justificado</v>
      </c>
      <c r="G7" s="6"/>
      <c r="H7" s="6"/>
      <c r="I7" s="6"/>
      <c r="J7" s="6"/>
      <c r="K7" s="6"/>
      <c r="L7" s="6"/>
      <c r="M7" s="6"/>
      <c r="N7" s="6"/>
      <c r="O7" s="6"/>
      <c r="P7" s="6"/>
      <c r="Q7" s="6"/>
      <c r="R7" s="6"/>
      <c r="S7" s="6"/>
      <c r="T7" s="6"/>
      <c r="U7" s="6"/>
      <c r="V7" s="6"/>
      <c r="W7" s="6"/>
      <c r="X7" s="6"/>
      <c r="Y7" s="6"/>
      <c r="Z7" s="6"/>
    </row>
    <row r="8" ht="34.5" customHeight="1">
      <c r="A8" s="19" t="s">
        <v>50</v>
      </c>
      <c r="B8" s="19" t="s">
        <v>149</v>
      </c>
      <c r="C8" s="19" t="s">
        <v>150</v>
      </c>
      <c r="D8" s="19" t="s">
        <v>151</v>
      </c>
      <c r="E8" s="19"/>
      <c r="F8" s="18" t="str">
        <f t="shared" si="1"/>
        <v>Deriva requisito</v>
      </c>
      <c r="G8" s="6"/>
      <c r="H8" s="6"/>
      <c r="I8" s="6"/>
      <c r="J8" s="6"/>
      <c r="K8" s="6"/>
      <c r="L8" s="6"/>
      <c r="M8" s="6"/>
      <c r="N8" s="6"/>
      <c r="O8" s="6"/>
      <c r="P8" s="6"/>
      <c r="Q8" s="6"/>
      <c r="R8" s="6"/>
      <c r="S8" s="6"/>
      <c r="T8" s="6"/>
      <c r="U8" s="6"/>
      <c r="V8" s="6"/>
      <c r="W8" s="6"/>
      <c r="X8" s="6"/>
      <c r="Y8" s="6"/>
      <c r="Z8" s="6"/>
    </row>
    <row r="9" ht="34.5" customHeight="1">
      <c r="A9" s="17" t="s">
        <v>152</v>
      </c>
      <c r="B9" s="17" t="s">
        <v>153</v>
      </c>
      <c r="C9" s="17" t="s">
        <v>154</v>
      </c>
      <c r="D9" s="17"/>
      <c r="E9" s="17" t="s">
        <v>155</v>
      </c>
      <c r="F9" s="18" t="str">
        <f t="shared" si="1"/>
        <v>Sin requisito, justificado</v>
      </c>
      <c r="G9" s="6"/>
      <c r="H9" s="6"/>
      <c r="I9" s="6"/>
      <c r="J9" s="6"/>
      <c r="K9" s="6"/>
      <c r="L9" s="6"/>
      <c r="M9" s="6"/>
      <c r="N9" s="6"/>
      <c r="O9" s="6"/>
      <c r="P9" s="6"/>
      <c r="Q9" s="6"/>
      <c r="R9" s="6"/>
      <c r="S9" s="6"/>
      <c r="T9" s="6"/>
      <c r="U9" s="6"/>
      <c r="V9" s="6"/>
      <c r="W9" s="6"/>
      <c r="X9" s="6"/>
      <c r="Y9" s="6"/>
      <c r="Z9" s="6"/>
    </row>
    <row r="10" ht="34.5" customHeight="1">
      <c r="A10" s="19" t="s">
        <v>156</v>
      </c>
      <c r="B10" s="19" t="s">
        <v>157</v>
      </c>
      <c r="C10" s="19" t="s">
        <v>158</v>
      </c>
      <c r="D10" s="19" t="s">
        <v>103</v>
      </c>
      <c r="E10" s="19"/>
      <c r="F10" s="18" t="str">
        <f t="shared" si="1"/>
        <v>Deriva requisito</v>
      </c>
      <c r="G10" s="6"/>
      <c r="H10" s="6"/>
      <c r="I10" s="6"/>
      <c r="J10" s="6"/>
      <c r="K10" s="6"/>
      <c r="L10" s="6"/>
      <c r="M10" s="6"/>
      <c r="N10" s="6"/>
      <c r="O10" s="6"/>
      <c r="P10" s="6"/>
      <c r="Q10" s="6"/>
      <c r="R10" s="6"/>
      <c r="S10" s="6"/>
      <c r="T10" s="6"/>
      <c r="U10" s="6"/>
      <c r="V10" s="6"/>
      <c r="W10" s="6"/>
      <c r="X10" s="6"/>
      <c r="Y10" s="6"/>
      <c r="Z10" s="6"/>
    </row>
    <row r="11" ht="34.5" customHeight="1">
      <c r="A11" s="17" t="s">
        <v>159</v>
      </c>
      <c r="B11" s="17" t="s">
        <v>160</v>
      </c>
      <c r="C11" s="17" t="s">
        <v>161</v>
      </c>
      <c r="D11" s="17" t="s">
        <v>103</v>
      </c>
      <c r="E11" s="17"/>
      <c r="F11" s="18" t="str">
        <f t="shared" si="1"/>
        <v>Deriva requisito</v>
      </c>
      <c r="G11" s="6"/>
      <c r="H11" s="6"/>
      <c r="I11" s="6"/>
      <c r="J11" s="6"/>
      <c r="K11" s="6"/>
      <c r="L11" s="6"/>
      <c r="M11" s="6"/>
      <c r="N11" s="6"/>
      <c r="O11" s="6"/>
      <c r="P11" s="6"/>
      <c r="Q11" s="6"/>
      <c r="R11" s="6"/>
      <c r="S11" s="6"/>
      <c r="T11" s="6"/>
      <c r="U11" s="6"/>
      <c r="V11" s="6"/>
      <c r="W11" s="6"/>
      <c r="X11" s="6"/>
      <c r="Y11" s="6"/>
      <c r="Z11" s="6"/>
    </row>
    <row r="12" ht="34.5" customHeight="1">
      <c r="A12" s="19" t="s">
        <v>55</v>
      </c>
      <c r="B12" s="19" t="s">
        <v>162</v>
      </c>
      <c r="C12" s="19" t="s">
        <v>163</v>
      </c>
      <c r="D12" s="19" t="s">
        <v>164</v>
      </c>
      <c r="E12" s="19"/>
      <c r="F12" s="18" t="str">
        <f t="shared" si="1"/>
        <v>Deriva requisito</v>
      </c>
      <c r="G12" s="6"/>
      <c r="H12" s="6"/>
      <c r="I12" s="6"/>
      <c r="J12" s="6"/>
      <c r="K12" s="6"/>
      <c r="L12" s="6"/>
      <c r="M12" s="6"/>
      <c r="N12" s="6"/>
      <c r="O12" s="6"/>
      <c r="P12" s="6"/>
      <c r="Q12" s="6"/>
      <c r="R12" s="6"/>
      <c r="S12" s="6"/>
      <c r="T12" s="6"/>
      <c r="U12" s="6"/>
      <c r="V12" s="6"/>
      <c r="W12" s="6"/>
      <c r="X12" s="6"/>
      <c r="Y12" s="6"/>
      <c r="Z12" s="6"/>
    </row>
    <row r="13" ht="34.5" customHeight="1">
      <c r="A13" s="17" t="s">
        <v>60</v>
      </c>
      <c r="B13" s="17" t="s">
        <v>165</v>
      </c>
      <c r="C13" s="17" t="s">
        <v>166</v>
      </c>
      <c r="D13" s="17" t="s">
        <v>56</v>
      </c>
      <c r="E13" s="17"/>
      <c r="F13" s="18" t="str">
        <f t="shared" si="1"/>
        <v>Deriva requisito</v>
      </c>
      <c r="G13" s="6"/>
      <c r="H13" s="6"/>
      <c r="I13" s="6"/>
      <c r="J13" s="6"/>
      <c r="K13" s="6"/>
      <c r="L13" s="6"/>
      <c r="M13" s="6"/>
      <c r="N13" s="6"/>
      <c r="O13" s="6"/>
      <c r="P13" s="6"/>
      <c r="Q13" s="6"/>
      <c r="R13" s="6"/>
      <c r="S13" s="6"/>
      <c r="T13" s="6"/>
      <c r="U13" s="6"/>
      <c r="V13" s="6"/>
      <c r="W13" s="6"/>
      <c r="X13" s="6"/>
      <c r="Y13" s="6"/>
      <c r="Z13" s="6"/>
    </row>
    <row r="14" ht="34.5" customHeight="1">
      <c r="A14" s="19" t="s">
        <v>66</v>
      </c>
      <c r="B14" s="19" t="s">
        <v>167</v>
      </c>
      <c r="C14" s="19" t="s">
        <v>166</v>
      </c>
      <c r="D14" s="19" t="s">
        <v>61</v>
      </c>
      <c r="E14" s="19"/>
      <c r="F14" s="18" t="str">
        <f t="shared" si="1"/>
        <v>Deriva requisito</v>
      </c>
      <c r="G14" s="6"/>
      <c r="H14" s="6"/>
      <c r="I14" s="6"/>
      <c r="J14" s="6"/>
      <c r="K14" s="6"/>
      <c r="L14" s="6"/>
      <c r="M14" s="6"/>
      <c r="N14" s="6"/>
      <c r="O14" s="6"/>
      <c r="P14" s="6"/>
      <c r="Q14" s="6"/>
      <c r="R14" s="6"/>
      <c r="S14" s="6"/>
      <c r="T14" s="6"/>
      <c r="U14" s="6"/>
      <c r="V14" s="6"/>
      <c r="W14" s="6"/>
      <c r="X14" s="6"/>
      <c r="Y14" s="6"/>
      <c r="Z14" s="6"/>
    </row>
    <row r="15" ht="48.75" customHeight="1">
      <c r="A15" s="17" t="s">
        <v>72</v>
      </c>
      <c r="B15" s="17" t="s">
        <v>168</v>
      </c>
      <c r="C15" s="17" t="s">
        <v>169</v>
      </c>
      <c r="D15" s="17" t="s">
        <v>68</v>
      </c>
      <c r="E15" s="17"/>
      <c r="F15" s="18" t="str">
        <f t="shared" si="1"/>
        <v>Deriva requisito</v>
      </c>
      <c r="G15" s="6"/>
      <c r="H15" s="6"/>
      <c r="I15" s="6"/>
      <c r="J15" s="6"/>
      <c r="K15" s="6"/>
      <c r="L15" s="6"/>
      <c r="M15" s="6"/>
      <c r="N15" s="6"/>
      <c r="O15" s="6"/>
      <c r="P15" s="6"/>
      <c r="Q15" s="6"/>
      <c r="R15" s="6"/>
      <c r="S15" s="6"/>
      <c r="T15" s="6"/>
      <c r="U15" s="6"/>
      <c r="V15" s="6"/>
      <c r="W15" s="6"/>
      <c r="X15" s="6"/>
      <c r="Y15" s="6"/>
      <c r="Z15" s="6"/>
    </row>
    <row r="16" ht="48.75" customHeight="1">
      <c r="A16" s="19" t="s">
        <v>170</v>
      </c>
      <c r="B16" s="19" t="s">
        <v>171</v>
      </c>
      <c r="C16" s="19" t="s">
        <v>172</v>
      </c>
      <c r="D16" s="19"/>
      <c r="E16" s="19" t="s">
        <v>173</v>
      </c>
      <c r="F16" s="18" t="str">
        <f t="shared" si="1"/>
        <v>Sin requisito, justificado</v>
      </c>
      <c r="G16" s="6"/>
      <c r="H16" s="6"/>
      <c r="I16" s="6"/>
      <c r="J16" s="6"/>
      <c r="K16" s="6"/>
      <c r="L16" s="6"/>
      <c r="M16" s="6"/>
      <c r="N16" s="6"/>
      <c r="O16" s="6"/>
      <c r="P16" s="6"/>
      <c r="Q16" s="6"/>
      <c r="R16" s="6"/>
      <c r="S16" s="6"/>
      <c r="T16" s="6"/>
      <c r="U16" s="6"/>
      <c r="V16" s="6"/>
      <c r="W16" s="6"/>
      <c r="X16" s="6"/>
      <c r="Y16" s="6"/>
      <c r="Z16" s="6"/>
    </row>
    <row r="17" ht="35.25" customHeight="1">
      <c r="A17" s="17" t="s">
        <v>174</v>
      </c>
      <c r="B17" s="17" t="s">
        <v>175</v>
      </c>
      <c r="C17" s="17" t="s">
        <v>176</v>
      </c>
      <c r="D17" s="17" t="s">
        <v>177</v>
      </c>
      <c r="E17" s="17"/>
      <c r="F17" s="18" t="str">
        <f t="shared" si="1"/>
        <v>Deriva requisito</v>
      </c>
      <c r="G17" s="6"/>
      <c r="H17" s="6"/>
      <c r="I17" s="6"/>
      <c r="J17" s="6"/>
      <c r="K17" s="6"/>
      <c r="L17" s="6"/>
      <c r="M17" s="6"/>
      <c r="N17" s="6"/>
      <c r="O17" s="6"/>
      <c r="P17" s="6"/>
      <c r="Q17" s="6"/>
      <c r="R17" s="6"/>
      <c r="S17" s="6"/>
      <c r="T17" s="6"/>
      <c r="U17" s="6"/>
      <c r="V17" s="6"/>
      <c r="W17" s="6"/>
      <c r="X17" s="6"/>
      <c r="Y17" s="6"/>
      <c r="Z17" s="6"/>
    </row>
    <row r="18" ht="35.25" customHeight="1">
      <c r="A18" s="19" t="s">
        <v>178</v>
      </c>
      <c r="B18" s="19" t="s">
        <v>179</v>
      </c>
      <c r="C18" s="19" t="s">
        <v>180</v>
      </c>
      <c r="D18" s="19" t="s">
        <v>177</v>
      </c>
      <c r="E18" s="19"/>
      <c r="F18" s="18" t="str">
        <f t="shared" si="1"/>
        <v>Deriva requisito</v>
      </c>
      <c r="G18" s="6"/>
      <c r="H18" s="6"/>
      <c r="I18" s="6"/>
      <c r="J18" s="6"/>
      <c r="K18" s="6"/>
      <c r="L18" s="6"/>
      <c r="M18" s="6"/>
      <c r="N18" s="6"/>
      <c r="O18" s="6"/>
      <c r="P18" s="6"/>
      <c r="Q18" s="6"/>
      <c r="R18" s="6"/>
      <c r="S18" s="6"/>
      <c r="T18" s="6"/>
      <c r="U18" s="6"/>
      <c r="V18" s="6"/>
      <c r="W18" s="6"/>
      <c r="X18" s="6"/>
      <c r="Y18" s="6"/>
      <c r="Z18" s="6"/>
    </row>
    <row r="19" ht="35.25" customHeight="1">
      <c r="A19" s="17" t="s">
        <v>82</v>
      </c>
      <c r="B19" s="17" t="s">
        <v>181</v>
      </c>
      <c r="C19" s="17" t="s">
        <v>182</v>
      </c>
      <c r="D19" s="17" t="s">
        <v>78</v>
      </c>
      <c r="E19" s="17"/>
      <c r="F19" s="18" t="str">
        <f t="shared" si="1"/>
        <v>Deriva requisito</v>
      </c>
      <c r="G19" s="6"/>
      <c r="H19" s="6"/>
      <c r="I19" s="6"/>
      <c r="J19" s="6"/>
      <c r="K19" s="6"/>
      <c r="L19" s="6"/>
      <c r="M19" s="6"/>
      <c r="N19" s="6"/>
      <c r="O19" s="6"/>
      <c r="P19" s="6"/>
      <c r="Q19" s="6"/>
      <c r="R19" s="6"/>
      <c r="S19" s="6"/>
      <c r="T19" s="6"/>
      <c r="U19" s="6"/>
      <c r="V19" s="6"/>
      <c r="W19" s="6"/>
      <c r="X19" s="6"/>
      <c r="Y19" s="6"/>
      <c r="Z19" s="6"/>
    </row>
    <row r="20" ht="35.25" customHeight="1">
      <c r="A20" s="19" t="s">
        <v>87</v>
      </c>
      <c r="B20" s="19" t="s">
        <v>183</v>
      </c>
      <c r="C20" s="19" t="s">
        <v>184</v>
      </c>
      <c r="D20" s="19" t="s">
        <v>185</v>
      </c>
      <c r="E20" s="19"/>
      <c r="F20" s="18" t="str">
        <f t="shared" si="1"/>
        <v>Deriva requisito</v>
      </c>
      <c r="G20" s="6"/>
      <c r="H20" s="6"/>
      <c r="I20" s="6"/>
      <c r="J20" s="6"/>
      <c r="K20" s="6"/>
      <c r="L20" s="6"/>
      <c r="M20" s="6"/>
      <c r="N20" s="6"/>
      <c r="O20" s="6"/>
      <c r="P20" s="6"/>
      <c r="Q20" s="6"/>
      <c r="R20" s="6"/>
      <c r="S20" s="6"/>
      <c r="T20" s="6"/>
      <c r="U20" s="6"/>
      <c r="V20" s="6"/>
      <c r="W20" s="6"/>
      <c r="X20" s="6"/>
      <c r="Y20" s="6"/>
      <c r="Z20" s="6"/>
    </row>
    <row r="21" ht="35.25" customHeight="1">
      <c r="A21" s="17" t="s">
        <v>92</v>
      </c>
      <c r="B21" s="17" t="s">
        <v>186</v>
      </c>
      <c r="C21" s="17" t="s">
        <v>187</v>
      </c>
      <c r="D21" s="17" t="s">
        <v>88</v>
      </c>
      <c r="E21" s="17"/>
      <c r="F21" s="18" t="str">
        <f t="shared" si="1"/>
        <v>Deriva requisito</v>
      </c>
      <c r="G21" s="6"/>
      <c r="H21" s="6"/>
      <c r="I21" s="6"/>
      <c r="J21" s="6"/>
      <c r="K21" s="6"/>
      <c r="L21" s="6"/>
      <c r="M21" s="6"/>
      <c r="N21" s="6"/>
      <c r="O21" s="6"/>
      <c r="P21" s="6"/>
      <c r="Q21" s="6"/>
      <c r="R21" s="6"/>
      <c r="S21" s="6"/>
      <c r="T21" s="6"/>
      <c r="U21" s="6"/>
      <c r="V21" s="6"/>
      <c r="W21" s="6"/>
      <c r="X21" s="6"/>
      <c r="Y21" s="6"/>
      <c r="Z21" s="6"/>
    </row>
    <row r="22" ht="35.25" customHeight="1">
      <c r="A22" s="19" t="s">
        <v>116</v>
      </c>
      <c r="B22" s="19" t="s">
        <v>188</v>
      </c>
      <c r="C22" s="19" t="s">
        <v>176</v>
      </c>
      <c r="D22" s="19" t="s">
        <v>111</v>
      </c>
      <c r="E22" s="19"/>
      <c r="F22" s="18" t="str">
        <f t="shared" si="1"/>
        <v>Deriva requisito</v>
      </c>
      <c r="G22" s="6"/>
      <c r="H22" s="6"/>
      <c r="I22" s="6"/>
      <c r="J22" s="6"/>
      <c r="K22" s="6"/>
      <c r="L22" s="6"/>
      <c r="M22" s="6"/>
      <c r="N22" s="6"/>
      <c r="O22" s="6"/>
      <c r="P22" s="6"/>
      <c r="Q22" s="6"/>
      <c r="R22" s="6"/>
      <c r="S22" s="6"/>
      <c r="T22" s="6"/>
      <c r="U22" s="6"/>
      <c r="V22" s="6"/>
      <c r="W22" s="6"/>
      <c r="X22" s="6"/>
      <c r="Y22" s="6"/>
      <c r="Z22" s="6"/>
    </row>
    <row r="23" ht="35.25" customHeight="1">
      <c r="A23" s="17" t="s">
        <v>189</v>
      </c>
      <c r="B23" s="17" t="s">
        <v>190</v>
      </c>
      <c r="C23" s="17" t="s">
        <v>191</v>
      </c>
      <c r="D23" s="17" t="s">
        <v>93</v>
      </c>
      <c r="E23" s="17"/>
      <c r="F23" s="18" t="str">
        <f t="shared" si="1"/>
        <v>Deriva requisito</v>
      </c>
      <c r="G23" s="6"/>
      <c r="H23" s="6"/>
      <c r="I23" s="6"/>
      <c r="J23" s="6"/>
      <c r="K23" s="6"/>
      <c r="L23" s="6"/>
      <c r="M23" s="6"/>
      <c r="N23" s="6"/>
      <c r="O23" s="6"/>
      <c r="P23" s="6"/>
      <c r="Q23" s="6"/>
      <c r="R23" s="6"/>
      <c r="S23" s="6"/>
      <c r="T23" s="6"/>
      <c r="U23" s="6"/>
      <c r="V23" s="6"/>
      <c r="W23" s="6"/>
      <c r="X23" s="6"/>
      <c r="Y23" s="6"/>
      <c r="Z23" s="6"/>
    </row>
    <row r="24" ht="43.5" customHeight="1">
      <c r="A24" s="19" t="s">
        <v>102</v>
      </c>
      <c r="B24" s="19" t="s">
        <v>192</v>
      </c>
      <c r="C24" s="19" t="s">
        <v>193</v>
      </c>
      <c r="D24" s="19" t="s">
        <v>98</v>
      </c>
      <c r="E24" s="19"/>
      <c r="F24" s="18" t="str">
        <f t="shared" si="1"/>
        <v>Deriva requisito</v>
      </c>
      <c r="G24" s="6"/>
      <c r="H24" s="6"/>
      <c r="I24" s="6"/>
      <c r="J24" s="6"/>
      <c r="K24" s="6"/>
      <c r="L24" s="6"/>
      <c r="M24" s="6"/>
      <c r="N24" s="6"/>
      <c r="O24" s="6"/>
      <c r="P24" s="6"/>
      <c r="Q24" s="6"/>
      <c r="R24" s="6"/>
      <c r="S24" s="6"/>
      <c r="T24" s="6"/>
      <c r="U24" s="6"/>
      <c r="V24" s="6"/>
      <c r="W24" s="6"/>
      <c r="X24" s="6"/>
      <c r="Y24" s="6"/>
      <c r="Z24" s="6"/>
    </row>
    <row r="25" ht="43.5" customHeight="1">
      <c r="A25" s="17" t="s">
        <v>194</v>
      </c>
      <c r="B25" s="17" t="s">
        <v>195</v>
      </c>
      <c r="C25" s="17" t="s">
        <v>196</v>
      </c>
      <c r="D25" s="17"/>
      <c r="E25" s="17" t="s">
        <v>197</v>
      </c>
      <c r="F25" s="18" t="str">
        <f t="shared" si="1"/>
        <v>Sin requisito, justificado</v>
      </c>
      <c r="G25" s="6"/>
      <c r="H25" s="6"/>
      <c r="I25" s="6"/>
      <c r="J25" s="6"/>
      <c r="K25" s="6"/>
      <c r="L25" s="6"/>
      <c r="M25" s="6"/>
      <c r="N25" s="6"/>
      <c r="O25" s="6"/>
      <c r="P25" s="6"/>
      <c r="Q25" s="6"/>
      <c r="R25" s="6"/>
      <c r="S25" s="6"/>
      <c r="T25" s="6"/>
      <c r="U25" s="6"/>
      <c r="V25" s="6"/>
      <c r="W25" s="6"/>
      <c r="X25" s="6"/>
      <c r="Y25" s="6"/>
      <c r="Z25" s="6"/>
    </row>
    <row r="26" ht="33.75" customHeight="1">
      <c r="A26" s="21"/>
      <c r="B26" s="21"/>
      <c r="C26" s="21"/>
      <c r="D26" s="21"/>
      <c r="E26" s="21"/>
      <c r="F26" s="22" t="str">
        <f t="shared" si="1"/>
        <v/>
      </c>
      <c r="G26" s="2"/>
      <c r="H26" s="2"/>
      <c r="I26" s="2"/>
      <c r="J26" s="2"/>
      <c r="K26" s="2"/>
      <c r="L26" s="2"/>
      <c r="M26" s="2"/>
      <c r="N26" s="2"/>
      <c r="O26" s="2"/>
      <c r="P26" s="2"/>
      <c r="Q26" s="2"/>
      <c r="R26" s="2"/>
      <c r="S26" s="2"/>
      <c r="T26" s="2"/>
      <c r="U26" s="2"/>
      <c r="V26" s="2"/>
      <c r="W26" s="2"/>
      <c r="X26" s="2"/>
      <c r="Y26" s="2"/>
      <c r="Z26" s="2"/>
    </row>
    <row r="27" ht="33.75" customHeight="1">
      <c r="A27" s="23"/>
      <c r="B27" s="23"/>
      <c r="C27" s="23"/>
      <c r="D27" s="23"/>
      <c r="E27" s="23"/>
      <c r="F27" s="22" t="str">
        <f t="shared" si="1"/>
        <v/>
      </c>
      <c r="G27" s="2"/>
      <c r="H27" s="2"/>
      <c r="I27" s="2"/>
      <c r="J27" s="2"/>
      <c r="K27" s="2"/>
      <c r="L27" s="2"/>
      <c r="M27" s="2"/>
      <c r="N27" s="2"/>
      <c r="O27" s="2"/>
      <c r="P27" s="2"/>
      <c r="Q27" s="2"/>
      <c r="R27" s="2"/>
      <c r="S27" s="2"/>
      <c r="T27" s="2"/>
      <c r="U27" s="2"/>
      <c r="V27" s="2"/>
      <c r="W27" s="2"/>
      <c r="X27" s="2"/>
      <c r="Y27" s="2"/>
      <c r="Z27" s="2"/>
    </row>
    <row r="28" ht="33.75" customHeight="1">
      <c r="A28" s="21"/>
      <c r="B28" s="21"/>
      <c r="C28" s="21"/>
      <c r="D28" s="21"/>
      <c r="E28" s="21"/>
      <c r="F28" s="22" t="str">
        <f t="shared" si="1"/>
        <v/>
      </c>
      <c r="G28" s="2"/>
      <c r="H28" s="2"/>
      <c r="I28" s="2"/>
      <c r="J28" s="2"/>
      <c r="K28" s="2"/>
      <c r="L28" s="2"/>
      <c r="M28" s="2"/>
      <c r="N28" s="2"/>
      <c r="O28" s="2"/>
      <c r="P28" s="2"/>
      <c r="Q28" s="2"/>
      <c r="R28" s="2"/>
      <c r="S28" s="2"/>
      <c r="T28" s="2"/>
      <c r="U28" s="2"/>
      <c r="V28" s="2"/>
      <c r="W28" s="2"/>
      <c r="X28" s="2"/>
      <c r="Y28" s="2"/>
      <c r="Z28" s="2"/>
    </row>
    <row r="29" ht="33.75" customHeight="1">
      <c r="A29" s="23"/>
      <c r="B29" s="23"/>
      <c r="C29" s="23"/>
      <c r="D29" s="23"/>
      <c r="E29" s="23"/>
      <c r="F29" s="22" t="str">
        <f t="shared" si="1"/>
        <v/>
      </c>
      <c r="G29" s="2"/>
      <c r="H29" s="2"/>
      <c r="I29" s="2"/>
      <c r="J29" s="2"/>
      <c r="K29" s="2"/>
      <c r="L29" s="2"/>
      <c r="M29" s="2"/>
      <c r="N29" s="2"/>
      <c r="O29" s="2"/>
      <c r="P29" s="2"/>
      <c r="Q29" s="2"/>
      <c r="R29" s="2"/>
      <c r="S29" s="2"/>
      <c r="T29" s="2"/>
      <c r="U29" s="2"/>
      <c r="V29" s="2"/>
      <c r="W29" s="2"/>
      <c r="X29" s="2"/>
      <c r="Y29" s="2"/>
      <c r="Z29" s="2"/>
    </row>
    <row r="30" ht="33.75" customHeight="1">
      <c r="A30" s="21"/>
      <c r="B30" s="21"/>
      <c r="C30" s="21"/>
      <c r="D30" s="21"/>
      <c r="E30" s="21"/>
      <c r="F30" s="22" t="str">
        <f t="shared" si="1"/>
        <v/>
      </c>
      <c r="G30" s="2"/>
      <c r="H30" s="2"/>
      <c r="I30" s="2"/>
      <c r="J30" s="2"/>
      <c r="K30" s="2"/>
      <c r="L30" s="2"/>
      <c r="M30" s="2"/>
      <c r="N30" s="2"/>
      <c r="O30" s="2"/>
      <c r="P30" s="2"/>
      <c r="Q30" s="2"/>
      <c r="R30" s="2"/>
      <c r="S30" s="2"/>
      <c r="T30" s="2"/>
      <c r="U30" s="2"/>
      <c r="V30" s="2"/>
      <c r="W30" s="2"/>
      <c r="X30" s="2"/>
      <c r="Y30" s="2"/>
      <c r="Z30" s="2"/>
    </row>
    <row r="31" ht="33.75" customHeight="1">
      <c r="A31" s="23"/>
      <c r="B31" s="23"/>
      <c r="C31" s="23"/>
      <c r="D31" s="23"/>
      <c r="E31" s="23"/>
      <c r="F31" s="22" t="str">
        <f t="shared" si="1"/>
        <v/>
      </c>
      <c r="G31" s="2"/>
      <c r="H31" s="2"/>
      <c r="I31" s="2"/>
      <c r="J31" s="2"/>
      <c r="K31" s="2"/>
      <c r="L31" s="2"/>
      <c r="M31" s="2"/>
      <c r="N31" s="2"/>
      <c r="O31" s="2"/>
      <c r="P31" s="2"/>
      <c r="Q31" s="2"/>
      <c r="R31" s="2"/>
      <c r="S31" s="2"/>
      <c r="T31" s="2"/>
      <c r="U31" s="2"/>
      <c r="V31" s="2"/>
      <c r="W31" s="2"/>
      <c r="X31" s="2"/>
      <c r="Y31" s="2"/>
      <c r="Z31" s="2"/>
    </row>
    <row r="32" ht="33.75" customHeight="1">
      <c r="A32" s="21"/>
      <c r="B32" s="21"/>
      <c r="C32" s="21"/>
      <c r="D32" s="21"/>
      <c r="E32" s="21"/>
      <c r="F32" s="22" t="str">
        <f t="shared" si="1"/>
        <v/>
      </c>
      <c r="G32" s="2"/>
      <c r="H32" s="2"/>
      <c r="I32" s="2"/>
      <c r="J32" s="2"/>
      <c r="K32" s="2"/>
      <c r="L32" s="2"/>
      <c r="M32" s="2"/>
      <c r="N32" s="2"/>
      <c r="O32" s="2"/>
      <c r="P32" s="2"/>
      <c r="Q32" s="2"/>
      <c r="R32" s="2"/>
      <c r="S32" s="2"/>
      <c r="T32" s="2"/>
      <c r="U32" s="2"/>
      <c r="V32" s="2"/>
      <c r="W32" s="2"/>
      <c r="X32" s="2"/>
      <c r="Y32" s="2"/>
      <c r="Z32" s="2"/>
    </row>
    <row r="33" ht="33.75" customHeight="1">
      <c r="A33" s="23"/>
      <c r="B33" s="23"/>
      <c r="C33" s="23"/>
      <c r="D33" s="23"/>
      <c r="E33" s="23"/>
      <c r="F33" s="22" t="str">
        <f t="shared" si="1"/>
        <v/>
      </c>
      <c r="G33" s="2"/>
      <c r="H33" s="2"/>
      <c r="I33" s="2"/>
      <c r="J33" s="2"/>
      <c r="K33" s="2"/>
      <c r="L33" s="2"/>
      <c r="M33" s="2"/>
      <c r="N33" s="2"/>
      <c r="O33" s="2"/>
      <c r="P33" s="2"/>
      <c r="Q33" s="2"/>
      <c r="R33" s="2"/>
      <c r="S33" s="2"/>
      <c r="T33" s="2"/>
      <c r="U33" s="2"/>
      <c r="V33" s="2"/>
      <c r="W33" s="2"/>
      <c r="X33" s="2"/>
      <c r="Y33" s="2"/>
      <c r="Z33" s="2"/>
    </row>
    <row r="34" ht="33.75" customHeight="1">
      <c r="A34" s="21"/>
      <c r="B34" s="21"/>
      <c r="C34" s="21"/>
      <c r="D34" s="21"/>
      <c r="E34" s="21"/>
      <c r="F34" s="22" t="str">
        <f t="shared" si="1"/>
        <v/>
      </c>
      <c r="G34" s="2"/>
      <c r="H34" s="2"/>
      <c r="I34" s="2"/>
      <c r="J34" s="2"/>
      <c r="K34" s="2"/>
      <c r="L34" s="2"/>
      <c r="M34" s="2"/>
      <c r="N34" s="2"/>
      <c r="O34" s="2"/>
      <c r="P34" s="2"/>
      <c r="Q34" s="2"/>
      <c r="R34" s="2"/>
      <c r="S34" s="2"/>
      <c r="T34" s="2"/>
      <c r="U34" s="2"/>
      <c r="V34" s="2"/>
      <c r="W34" s="2"/>
      <c r="X34" s="2"/>
      <c r="Y34" s="2"/>
      <c r="Z34" s="2"/>
    </row>
    <row r="35" ht="33.75" customHeight="1">
      <c r="A35" s="23"/>
      <c r="B35" s="23"/>
      <c r="C35" s="23"/>
      <c r="D35" s="23"/>
      <c r="E35" s="23"/>
      <c r="F35" s="22" t="str">
        <f t="shared" si="1"/>
        <v/>
      </c>
      <c r="G35" s="2"/>
      <c r="H35" s="2"/>
      <c r="I35" s="2"/>
      <c r="J35" s="2"/>
      <c r="K35" s="2"/>
      <c r="L35" s="2"/>
      <c r="M35" s="2"/>
      <c r="N35" s="2"/>
      <c r="O35" s="2"/>
      <c r="P35" s="2"/>
      <c r="Q35" s="2"/>
      <c r="R35" s="2"/>
      <c r="S35" s="2"/>
      <c r="T35" s="2"/>
      <c r="U35" s="2"/>
      <c r="V35" s="2"/>
      <c r="W35" s="2"/>
      <c r="X35" s="2"/>
      <c r="Y35" s="2"/>
      <c r="Z35" s="2"/>
    </row>
    <row r="36" ht="33.75" customHeight="1">
      <c r="A36" s="21"/>
      <c r="B36" s="21"/>
      <c r="C36" s="21"/>
      <c r="D36" s="21"/>
      <c r="E36" s="21"/>
      <c r="F36" s="22" t="str">
        <f t="shared" si="1"/>
        <v/>
      </c>
      <c r="G36" s="2"/>
      <c r="H36" s="2"/>
      <c r="I36" s="2"/>
      <c r="J36" s="2"/>
      <c r="K36" s="2"/>
      <c r="L36" s="2"/>
      <c r="M36" s="2"/>
      <c r="N36" s="2"/>
      <c r="O36" s="2"/>
      <c r="P36" s="2"/>
      <c r="Q36" s="2"/>
      <c r="R36" s="2"/>
      <c r="S36" s="2"/>
      <c r="T36" s="2"/>
      <c r="U36" s="2"/>
      <c r="V36" s="2"/>
      <c r="W36" s="2"/>
      <c r="X36" s="2"/>
      <c r="Y36" s="2"/>
      <c r="Z36" s="2"/>
    </row>
    <row r="37" ht="33.75" customHeight="1">
      <c r="A37" s="23"/>
      <c r="B37" s="23"/>
      <c r="C37" s="23"/>
      <c r="D37" s="23"/>
      <c r="E37" s="23"/>
      <c r="F37" s="22" t="str">
        <f t="shared" si="1"/>
        <v/>
      </c>
      <c r="G37" s="2"/>
      <c r="H37" s="2"/>
      <c r="I37" s="2"/>
      <c r="J37" s="2"/>
      <c r="K37" s="2"/>
      <c r="L37" s="2"/>
      <c r="M37" s="2"/>
      <c r="N37" s="2"/>
      <c r="O37" s="2"/>
      <c r="P37" s="2"/>
      <c r="Q37" s="2"/>
      <c r="R37" s="2"/>
      <c r="S37" s="2"/>
      <c r="T37" s="2"/>
      <c r="U37" s="2"/>
      <c r="V37" s="2"/>
      <c r="W37" s="2"/>
      <c r="X37" s="2"/>
      <c r="Y37" s="2"/>
      <c r="Z37" s="2"/>
    </row>
    <row r="38" ht="33.75" customHeight="1">
      <c r="A38" s="21"/>
      <c r="B38" s="21"/>
      <c r="C38" s="21"/>
      <c r="D38" s="21"/>
      <c r="E38" s="21"/>
      <c r="F38" s="22" t="str">
        <f t="shared" si="1"/>
        <v/>
      </c>
      <c r="G38" s="2"/>
      <c r="H38" s="2"/>
      <c r="I38" s="2"/>
      <c r="J38" s="2"/>
      <c r="K38" s="2"/>
      <c r="L38" s="2"/>
      <c r="M38" s="2"/>
      <c r="N38" s="2"/>
      <c r="O38" s="2"/>
      <c r="P38" s="2"/>
      <c r="Q38" s="2"/>
      <c r="R38" s="2"/>
      <c r="S38" s="2"/>
      <c r="T38" s="2"/>
      <c r="U38" s="2"/>
      <c r="V38" s="2"/>
      <c r="W38" s="2"/>
      <c r="X38" s="2"/>
      <c r="Y38" s="2"/>
      <c r="Z38" s="2"/>
    </row>
    <row r="39" ht="33.75" customHeight="1">
      <c r="A39" s="23"/>
      <c r="B39" s="23"/>
      <c r="C39" s="23"/>
      <c r="D39" s="23"/>
      <c r="E39" s="23"/>
      <c r="F39" s="22" t="str">
        <f t="shared" si="1"/>
        <v/>
      </c>
      <c r="G39" s="2"/>
      <c r="H39" s="2"/>
      <c r="I39" s="2"/>
      <c r="J39" s="2"/>
      <c r="K39" s="2"/>
      <c r="L39" s="2"/>
      <c r="M39" s="2"/>
      <c r="N39" s="2"/>
      <c r="O39" s="2"/>
      <c r="P39" s="2"/>
      <c r="Q39" s="2"/>
      <c r="R39" s="2"/>
      <c r="S39" s="2"/>
      <c r="T39" s="2"/>
      <c r="U39" s="2"/>
      <c r="V39" s="2"/>
      <c r="W39" s="2"/>
      <c r="X39" s="2"/>
      <c r="Y39" s="2"/>
      <c r="Z39" s="2"/>
    </row>
    <row r="40" ht="33.75" customHeight="1">
      <c r="A40" s="21"/>
      <c r="B40" s="21"/>
      <c r="C40" s="21"/>
      <c r="D40" s="21"/>
      <c r="E40" s="21"/>
      <c r="F40" s="22" t="str">
        <f t="shared" si="1"/>
        <v/>
      </c>
      <c r="G40" s="2"/>
      <c r="H40" s="2"/>
      <c r="I40" s="2"/>
      <c r="J40" s="2"/>
      <c r="K40" s="2"/>
      <c r="L40" s="2"/>
      <c r="M40" s="2"/>
      <c r="N40" s="2"/>
      <c r="O40" s="2"/>
      <c r="P40" s="2"/>
      <c r="Q40" s="2"/>
      <c r="R40" s="2"/>
      <c r="S40" s="2"/>
      <c r="T40" s="2"/>
      <c r="U40" s="2"/>
      <c r="V40" s="2"/>
      <c r="W40" s="2"/>
      <c r="X40" s="2"/>
      <c r="Y40" s="2"/>
      <c r="Z40" s="2"/>
    </row>
    <row r="41" ht="33.75" customHeight="1">
      <c r="A41" s="23"/>
      <c r="B41" s="23"/>
      <c r="C41" s="23"/>
      <c r="D41" s="23"/>
      <c r="E41" s="23"/>
      <c r="F41" s="22" t="str">
        <f t="shared" si="1"/>
        <v/>
      </c>
      <c r="G41" s="2"/>
      <c r="H41" s="2"/>
      <c r="I41" s="2"/>
      <c r="J41" s="2"/>
      <c r="K41" s="2"/>
      <c r="L41" s="2"/>
      <c r="M41" s="2"/>
      <c r="N41" s="2"/>
      <c r="O41" s="2"/>
      <c r="P41" s="2"/>
      <c r="Q41" s="2"/>
      <c r="R41" s="2"/>
      <c r="S41" s="2"/>
      <c r="T41" s="2"/>
      <c r="U41" s="2"/>
      <c r="V41" s="2"/>
      <c r="W41" s="2"/>
      <c r="X41" s="2"/>
      <c r="Y41" s="2"/>
      <c r="Z41" s="2"/>
    </row>
    <row r="42" ht="33.75" customHeight="1">
      <c r="A42" s="21"/>
      <c r="B42" s="21"/>
      <c r="C42" s="21"/>
      <c r="D42" s="21"/>
      <c r="E42" s="21"/>
      <c r="F42" s="22" t="str">
        <f t="shared" si="1"/>
        <v/>
      </c>
      <c r="G42" s="2"/>
      <c r="H42" s="2"/>
      <c r="I42" s="2"/>
      <c r="J42" s="2"/>
      <c r="K42" s="2"/>
      <c r="L42" s="2"/>
      <c r="M42" s="2"/>
      <c r="N42" s="2"/>
      <c r="O42" s="2"/>
      <c r="P42" s="2"/>
      <c r="Q42" s="2"/>
      <c r="R42" s="2"/>
      <c r="S42" s="2"/>
      <c r="T42" s="2"/>
      <c r="U42" s="2"/>
      <c r="V42" s="2"/>
      <c r="W42" s="2"/>
      <c r="X42" s="2"/>
      <c r="Y42" s="2"/>
      <c r="Z42" s="2"/>
    </row>
    <row r="43" ht="33.75" customHeight="1">
      <c r="A43" s="23"/>
      <c r="B43" s="23"/>
      <c r="C43" s="23"/>
      <c r="D43" s="23"/>
      <c r="E43" s="23"/>
      <c r="F43" s="22" t="str">
        <f t="shared" si="1"/>
        <v/>
      </c>
      <c r="G43" s="2"/>
      <c r="H43" s="2"/>
      <c r="I43" s="2"/>
      <c r="J43" s="2"/>
      <c r="K43" s="2"/>
      <c r="L43" s="2"/>
      <c r="M43" s="2"/>
      <c r="N43" s="2"/>
      <c r="O43" s="2"/>
      <c r="P43" s="2"/>
      <c r="Q43" s="2"/>
      <c r="R43" s="2"/>
      <c r="S43" s="2"/>
      <c r="T43" s="2"/>
      <c r="U43" s="2"/>
      <c r="V43" s="2"/>
      <c r="W43" s="2"/>
      <c r="X43" s="2"/>
      <c r="Y43" s="2"/>
      <c r="Z43" s="2"/>
    </row>
    <row r="44" ht="33.75" customHeight="1">
      <c r="A44" s="21"/>
      <c r="B44" s="21"/>
      <c r="C44" s="21"/>
      <c r="D44" s="21"/>
      <c r="E44" s="21"/>
      <c r="F44" s="22" t="str">
        <f t="shared" si="1"/>
        <v/>
      </c>
      <c r="G44" s="2"/>
      <c r="H44" s="2"/>
      <c r="I44" s="2"/>
      <c r="J44" s="2"/>
      <c r="K44" s="2"/>
      <c r="L44" s="2"/>
      <c r="M44" s="2"/>
      <c r="N44" s="2"/>
      <c r="O44" s="2"/>
      <c r="P44" s="2"/>
      <c r="Q44" s="2"/>
      <c r="R44" s="2"/>
      <c r="S44" s="2"/>
      <c r="T44" s="2"/>
      <c r="U44" s="2"/>
      <c r="V44" s="2"/>
      <c r="W44" s="2"/>
      <c r="X44" s="2"/>
      <c r="Y44" s="2"/>
      <c r="Z44" s="2"/>
    </row>
    <row r="45" ht="33.75" customHeight="1">
      <c r="A45" s="23"/>
      <c r="B45" s="23"/>
      <c r="C45" s="23"/>
      <c r="D45" s="23"/>
      <c r="E45" s="23"/>
      <c r="F45" s="22" t="str">
        <f t="shared" si="1"/>
        <v/>
      </c>
      <c r="G45" s="2"/>
      <c r="H45" s="2"/>
      <c r="I45" s="2"/>
      <c r="J45" s="2"/>
      <c r="K45" s="2"/>
      <c r="L45" s="2"/>
      <c r="M45" s="2"/>
      <c r="N45" s="2"/>
      <c r="O45" s="2"/>
      <c r="P45" s="2"/>
      <c r="Q45" s="2"/>
      <c r="R45" s="2"/>
      <c r="S45" s="2"/>
      <c r="T45" s="2"/>
      <c r="U45" s="2"/>
      <c r="V45" s="2"/>
      <c r="W45" s="2"/>
      <c r="X45" s="2"/>
      <c r="Y45" s="2"/>
      <c r="Z45" s="2"/>
    </row>
    <row r="46" ht="33.75" customHeight="1">
      <c r="A46" s="21"/>
      <c r="B46" s="21"/>
      <c r="C46" s="21"/>
      <c r="D46" s="21"/>
      <c r="E46" s="21"/>
      <c r="F46" s="22" t="str">
        <f t="shared" si="1"/>
        <v/>
      </c>
      <c r="G46" s="2"/>
      <c r="H46" s="2"/>
      <c r="I46" s="2"/>
      <c r="J46" s="2"/>
      <c r="K46" s="2"/>
      <c r="L46" s="2"/>
      <c r="M46" s="2"/>
      <c r="N46" s="2"/>
      <c r="O46" s="2"/>
      <c r="P46" s="2"/>
      <c r="Q46" s="2"/>
      <c r="R46" s="2"/>
      <c r="S46" s="2"/>
      <c r="T46" s="2"/>
      <c r="U46" s="2"/>
      <c r="V46" s="2"/>
      <c r="W46" s="2"/>
      <c r="X46" s="2"/>
      <c r="Y46" s="2"/>
      <c r="Z46" s="2"/>
    </row>
    <row r="47" ht="33.75" customHeight="1">
      <c r="A47" s="23"/>
      <c r="B47" s="23"/>
      <c r="C47" s="23"/>
      <c r="D47" s="23"/>
      <c r="E47" s="23"/>
      <c r="F47" s="22" t="str">
        <f t="shared" si="1"/>
        <v/>
      </c>
      <c r="G47" s="2"/>
      <c r="H47" s="2"/>
      <c r="I47" s="2"/>
      <c r="J47" s="2"/>
      <c r="K47" s="2"/>
      <c r="L47" s="2"/>
      <c r="M47" s="2"/>
      <c r="N47" s="2"/>
      <c r="O47" s="2"/>
      <c r="P47" s="2"/>
      <c r="Q47" s="2"/>
      <c r="R47" s="2"/>
      <c r="S47" s="2"/>
      <c r="T47" s="2"/>
      <c r="U47" s="2"/>
      <c r="V47" s="2"/>
      <c r="W47" s="2"/>
      <c r="X47" s="2"/>
      <c r="Y47" s="2"/>
      <c r="Z47" s="2"/>
    </row>
    <row r="48" ht="33.75" customHeight="1">
      <c r="A48" s="21"/>
      <c r="B48" s="21"/>
      <c r="C48" s="21"/>
      <c r="D48" s="21"/>
      <c r="E48" s="21"/>
      <c r="F48" s="22" t="str">
        <f t="shared" si="1"/>
        <v/>
      </c>
      <c r="G48" s="2"/>
      <c r="H48" s="2"/>
      <c r="I48" s="2"/>
      <c r="J48" s="2"/>
      <c r="K48" s="2"/>
      <c r="L48" s="2"/>
      <c r="M48" s="2"/>
      <c r="N48" s="2"/>
      <c r="O48" s="2"/>
      <c r="P48" s="2"/>
      <c r="Q48" s="2"/>
      <c r="R48" s="2"/>
      <c r="S48" s="2"/>
      <c r="T48" s="2"/>
      <c r="U48" s="2"/>
      <c r="V48" s="2"/>
      <c r="W48" s="2"/>
      <c r="X48" s="2"/>
      <c r="Y48" s="2"/>
      <c r="Z48" s="2"/>
    </row>
    <row r="49" ht="33.75" customHeight="1">
      <c r="A49" s="23"/>
      <c r="B49" s="23"/>
      <c r="C49" s="23"/>
      <c r="D49" s="23"/>
      <c r="E49" s="23"/>
      <c r="F49" s="22" t="str">
        <f t="shared" si="1"/>
        <v/>
      </c>
      <c r="G49" s="2"/>
      <c r="H49" s="2"/>
      <c r="I49" s="2"/>
      <c r="J49" s="2"/>
      <c r="K49" s="2"/>
      <c r="L49" s="2"/>
      <c r="M49" s="2"/>
      <c r="N49" s="2"/>
      <c r="O49" s="2"/>
      <c r="P49" s="2"/>
      <c r="Q49" s="2"/>
      <c r="R49" s="2"/>
      <c r="S49" s="2"/>
      <c r="T49" s="2"/>
      <c r="U49" s="2"/>
      <c r="V49" s="2"/>
      <c r="W49" s="2"/>
      <c r="X49" s="2"/>
      <c r="Y49" s="2"/>
      <c r="Z49" s="2"/>
    </row>
    <row r="50" ht="33.75" customHeight="1">
      <c r="A50" s="21"/>
      <c r="B50" s="21"/>
      <c r="C50" s="21"/>
      <c r="D50" s="21"/>
      <c r="E50" s="21"/>
      <c r="F50" s="22" t="str">
        <f t="shared" si="1"/>
        <v/>
      </c>
      <c r="G50" s="2"/>
      <c r="H50" s="2"/>
      <c r="I50" s="2"/>
      <c r="J50" s="2"/>
      <c r="K50" s="2"/>
      <c r="L50" s="2"/>
      <c r="M50" s="2"/>
      <c r="N50" s="2"/>
      <c r="O50" s="2"/>
      <c r="P50" s="2"/>
      <c r="Q50" s="2"/>
      <c r="R50" s="2"/>
      <c r="S50" s="2"/>
      <c r="T50" s="2"/>
      <c r="U50" s="2"/>
      <c r="V50" s="2"/>
      <c r="W50" s="2"/>
      <c r="X50" s="2"/>
      <c r="Y50" s="2"/>
      <c r="Z50" s="2"/>
    </row>
    <row r="51" ht="33.75" customHeight="1">
      <c r="A51" s="23"/>
      <c r="B51" s="23"/>
      <c r="C51" s="23"/>
      <c r="D51" s="23"/>
      <c r="E51" s="23"/>
      <c r="F51" s="22" t="str">
        <f t="shared" si="1"/>
        <v/>
      </c>
      <c r="G51" s="2"/>
      <c r="H51" s="2"/>
      <c r="I51" s="2"/>
      <c r="J51" s="2"/>
      <c r="K51" s="2"/>
      <c r="L51" s="2"/>
      <c r="M51" s="2"/>
      <c r="N51" s="2"/>
      <c r="O51" s="2"/>
      <c r="P51" s="2"/>
      <c r="Q51" s="2"/>
      <c r="R51" s="2"/>
      <c r="S51" s="2"/>
      <c r="T51" s="2"/>
      <c r="U51" s="2"/>
      <c r="V51" s="2"/>
      <c r="W51" s="2"/>
      <c r="X51" s="2"/>
      <c r="Y51" s="2"/>
      <c r="Z51" s="2"/>
    </row>
    <row r="52" ht="33.75" customHeight="1">
      <c r="A52" s="21"/>
      <c r="B52" s="21"/>
      <c r="C52" s="21"/>
      <c r="D52" s="21"/>
      <c r="E52" s="21"/>
      <c r="F52" s="22" t="str">
        <f t="shared" si="1"/>
        <v/>
      </c>
      <c r="G52" s="2"/>
      <c r="H52" s="2"/>
      <c r="I52" s="2"/>
      <c r="J52" s="2"/>
      <c r="K52" s="2"/>
      <c r="L52" s="2"/>
      <c r="M52" s="2"/>
      <c r="N52" s="2"/>
      <c r="O52" s="2"/>
      <c r="P52" s="2"/>
      <c r="Q52" s="2"/>
      <c r="R52" s="2"/>
      <c r="S52" s="2"/>
      <c r="T52" s="2"/>
      <c r="U52" s="2"/>
      <c r="V52" s="2"/>
      <c r="W52" s="2"/>
      <c r="X52" s="2"/>
      <c r="Y52" s="2"/>
      <c r="Z52" s="2"/>
    </row>
    <row r="53" ht="33.75" customHeight="1">
      <c r="A53" s="23"/>
      <c r="B53" s="23"/>
      <c r="C53" s="23"/>
      <c r="D53" s="23"/>
      <c r="E53" s="23"/>
      <c r="F53" s="22" t="str">
        <f t="shared" si="1"/>
        <v/>
      </c>
      <c r="G53" s="2"/>
      <c r="H53" s="2"/>
      <c r="I53" s="2"/>
      <c r="J53" s="2"/>
      <c r="K53" s="2"/>
      <c r="L53" s="2"/>
      <c r="M53" s="2"/>
      <c r="N53" s="2"/>
      <c r="O53" s="2"/>
      <c r="P53" s="2"/>
      <c r="Q53" s="2"/>
      <c r="R53" s="2"/>
      <c r="S53" s="2"/>
      <c r="T53" s="2"/>
      <c r="U53" s="2"/>
      <c r="V53" s="2"/>
      <c r="W53" s="2"/>
      <c r="X53" s="2"/>
      <c r="Y53" s="2"/>
      <c r="Z53" s="2"/>
    </row>
    <row r="54" ht="33.75" customHeight="1">
      <c r="A54" s="21"/>
      <c r="B54" s="21"/>
      <c r="C54" s="21"/>
      <c r="D54" s="21"/>
      <c r="E54" s="21"/>
      <c r="F54" s="22" t="str">
        <f t="shared" si="1"/>
        <v/>
      </c>
      <c r="G54" s="2"/>
      <c r="H54" s="2"/>
      <c r="I54" s="2"/>
      <c r="J54" s="2"/>
      <c r="K54" s="2"/>
      <c r="L54" s="2"/>
      <c r="M54" s="2"/>
      <c r="N54" s="2"/>
      <c r="O54" s="2"/>
      <c r="P54" s="2"/>
      <c r="Q54" s="2"/>
      <c r="R54" s="2"/>
      <c r="S54" s="2"/>
      <c r="T54" s="2"/>
      <c r="U54" s="2"/>
      <c r="V54" s="2"/>
      <c r="W54" s="2"/>
      <c r="X54" s="2"/>
      <c r="Y54" s="2"/>
      <c r="Z54" s="2"/>
    </row>
    <row r="55" ht="33.75" customHeight="1">
      <c r="A55" s="23"/>
      <c r="B55" s="23"/>
      <c r="C55" s="23"/>
      <c r="D55" s="23"/>
      <c r="E55" s="23"/>
      <c r="F55" s="22" t="str">
        <f t="shared" si="1"/>
        <v/>
      </c>
      <c r="G55" s="2"/>
      <c r="H55" s="2"/>
      <c r="I55" s="2"/>
      <c r="J55" s="2"/>
      <c r="K55" s="2"/>
      <c r="L55" s="2"/>
      <c r="M55" s="2"/>
      <c r="N55" s="2"/>
      <c r="O55" s="2"/>
      <c r="P55" s="2"/>
      <c r="Q55" s="2"/>
      <c r="R55" s="2"/>
      <c r="S55" s="2"/>
      <c r="T55" s="2"/>
      <c r="U55" s="2"/>
      <c r="V55" s="2"/>
      <c r="W55" s="2"/>
      <c r="X55" s="2"/>
      <c r="Y55" s="2"/>
      <c r="Z55" s="2"/>
    </row>
    <row r="56" ht="33.75" customHeight="1">
      <c r="A56" s="21"/>
      <c r="B56" s="21"/>
      <c r="C56" s="21"/>
      <c r="D56" s="21"/>
      <c r="E56" s="21"/>
      <c r="F56" s="22" t="str">
        <f t="shared" si="1"/>
        <v/>
      </c>
      <c r="G56" s="2"/>
      <c r="H56" s="2"/>
      <c r="I56" s="2"/>
      <c r="J56" s="2"/>
      <c r="K56" s="2"/>
      <c r="L56" s="2"/>
      <c r="M56" s="2"/>
      <c r="N56" s="2"/>
      <c r="O56" s="2"/>
      <c r="P56" s="2"/>
      <c r="Q56" s="2"/>
      <c r="R56" s="2"/>
      <c r="S56" s="2"/>
      <c r="T56" s="2"/>
      <c r="U56" s="2"/>
      <c r="V56" s="2"/>
      <c r="W56" s="2"/>
      <c r="X56" s="2"/>
      <c r="Y56" s="2"/>
      <c r="Z56" s="2"/>
    </row>
    <row r="57" ht="33.75" customHeight="1">
      <c r="A57" s="23"/>
      <c r="B57" s="23"/>
      <c r="C57" s="23"/>
      <c r="D57" s="23"/>
      <c r="E57" s="23"/>
      <c r="F57" s="22" t="str">
        <f t="shared" si="1"/>
        <v/>
      </c>
      <c r="G57" s="2"/>
      <c r="H57" s="2"/>
      <c r="I57" s="2"/>
      <c r="J57" s="2"/>
      <c r="K57" s="2"/>
      <c r="L57" s="2"/>
      <c r="M57" s="2"/>
      <c r="N57" s="2"/>
      <c r="O57" s="2"/>
      <c r="P57" s="2"/>
      <c r="Q57" s="2"/>
      <c r="R57" s="2"/>
      <c r="S57" s="2"/>
      <c r="T57" s="2"/>
      <c r="U57" s="2"/>
      <c r="V57" s="2"/>
      <c r="W57" s="2"/>
      <c r="X57" s="2"/>
      <c r="Y57" s="2"/>
      <c r="Z57" s="2"/>
    </row>
    <row r="58" ht="33.75" customHeight="1">
      <c r="A58" s="21"/>
      <c r="B58" s="21"/>
      <c r="C58" s="21"/>
      <c r="D58" s="21"/>
      <c r="E58" s="21"/>
      <c r="F58" s="22" t="str">
        <f t="shared" si="1"/>
        <v/>
      </c>
      <c r="G58" s="2"/>
      <c r="H58" s="2"/>
      <c r="I58" s="2"/>
      <c r="J58" s="2"/>
      <c r="K58" s="2"/>
      <c r="L58" s="2"/>
      <c r="M58" s="2"/>
      <c r="N58" s="2"/>
      <c r="O58" s="2"/>
      <c r="P58" s="2"/>
      <c r="Q58" s="2"/>
      <c r="R58" s="2"/>
      <c r="S58" s="2"/>
      <c r="T58" s="2"/>
      <c r="U58" s="2"/>
      <c r="V58" s="2"/>
      <c r="W58" s="2"/>
      <c r="X58" s="2"/>
      <c r="Y58" s="2"/>
      <c r="Z58" s="2"/>
    </row>
    <row r="59" ht="33.75" customHeight="1">
      <c r="A59" s="23"/>
      <c r="B59" s="23"/>
      <c r="C59" s="23"/>
      <c r="D59" s="23"/>
      <c r="E59" s="23"/>
      <c r="F59" s="22" t="str">
        <f t="shared" si="1"/>
        <v/>
      </c>
      <c r="G59" s="2"/>
      <c r="H59" s="2"/>
      <c r="I59" s="2"/>
      <c r="J59" s="2"/>
      <c r="K59" s="2"/>
      <c r="L59" s="2"/>
      <c r="M59" s="2"/>
      <c r="N59" s="2"/>
      <c r="O59" s="2"/>
      <c r="P59" s="2"/>
      <c r="Q59" s="2"/>
      <c r="R59" s="2"/>
      <c r="S59" s="2"/>
      <c r="T59" s="2"/>
      <c r="U59" s="2"/>
      <c r="V59" s="2"/>
      <c r="W59" s="2"/>
      <c r="X59" s="2"/>
      <c r="Y59" s="2"/>
      <c r="Z59" s="2"/>
    </row>
    <row r="60" ht="33.75" customHeight="1">
      <c r="A60" s="21"/>
      <c r="B60" s="21"/>
      <c r="C60" s="21"/>
      <c r="D60" s="21"/>
      <c r="E60" s="21"/>
      <c r="F60" s="22" t="str">
        <f t="shared" si="1"/>
        <v/>
      </c>
      <c r="G60" s="2"/>
      <c r="H60" s="2"/>
      <c r="I60" s="2"/>
      <c r="J60" s="2"/>
      <c r="K60" s="2"/>
      <c r="L60" s="2"/>
      <c r="M60" s="2"/>
      <c r="N60" s="2"/>
      <c r="O60" s="2"/>
      <c r="P60" s="2"/>
      <c r="Q60" s="2"/>
      <c r="R60" s="2"/>
      <c r="S60" s="2"/>
      <c r="T60" s="2"/>
      <c r="U60" s="2"/>
      <c r="V60" s="2"/>
      <c r="W60" s="2"/>
      <c r="X60" s="2"/>
      <c r="Y60" s="2"/>
      <c r="Z60" s="2"/>
    </row>
    <row r="61" ht="33.75" customHeight="1">
      <c r="A61" s="23"/>
      <c r="B61" s="23"/>
      <c r="C61" s="23"/>
      <c r="D61" s="23"/>
      <c r="E61" s="23"/>
      <c r="F61" s="22" t="str">
        <f t="shared" si="1"/>
        <v/>
      </c>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mergeCells count="2">
    <mergeCell ref="A1:G1"/>
    <mergeCell ref="A2:G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0.0"/>
    <col customWidth="1" min="2" max="2" width="16.0"/>
    <col customWidth="1" min="3" max="3" width="18.0"/>
    <col customWidth="1" min="4" max="4" width="16.0"/>
    <col customWidth="1" min="5" max="5" width="26.0"/>
    <col customWidth="1" min="6" max="6" width="70.0"/>
    <col customWidth="1" min="7" max="7" width="88.86"/>
  </cols>
  <sheetData>
    <row r="1" ht="19.5" customHeight="1">
      <c r="A1" s="14" t="s">
        <v>198</v>
      </c>
      <c r="H1" s="2"/>
      <c r="I1" s="2"/>
      <c r="J1" s="2"/>
      <c r="K1" s="2"/>
      <c r="L1" s="2"/>
      <c r="M1" s="2"/>
      <c r="N1" s="2"/>
      <c r="O1" s="2"/>
      <c r="P1" s="2"/>
      <c r="Q1" s="2"/>
      <c r="R1" s="2"/>
      <c r="S1" s="2"/>
      <c r="T1" s="2"/>
      <c r="U1" s="2"/>
      <c r="V1" s="2"/>
      <c r="W1" s="2"/>
      <c r="X1" s="2"/>
      <c r="Y1" s="2"/>
      <c r="Z1" s="2"/>
    </row>
    <row r="2" ht="25.5" customHeight="1">
      <c r="A2" s="15" t="s">
        <v>199</v>
      </c>
      <c r="H2" s="2"/>
      <c r="I2" s="2"/>
      <c r="J2" s="2"/>
      <c r="K2" s="2"/>
      <c r="L2" s="2"/>
      <c r="M2" s="2"/>
      <c r="N2" s="2"/>
      <c r="O2" s="2"/>
      <c r="P2" s="2"/>
      <c r="Q2" s="2"/>
      <c r="R2" s="2"/>
      <c r="S2" s="2"/>
      <c r="T2" s="2"/>
      <c r="U2" s="2"/>
      <c r="V2" s="2"/>
      <c r="W2" s="2"/>
      <c r="X2" s="2"/>
      <c r="Y2" s="2"/>
      <c r="Z2" s="2"/>
    </row>
    <row r="3" ht="15.0" customHeight="1">
      <c r="A3" s="2"/>
      <c r="B3" s="2"/>
      <c r="C3" s="2"/>
      <c r="D3" s="2"/>
      <c r="E3" s="2"/>
      <c r="F3" s="2"/>
      <c r="G3" s="2"/>
      <c r="H3" s="2"/>
      <c r="I3" s="2"/>
      <c r="J3" s="2"/>
      <c r="K3" s="2"/>
      <c r="L3" s="2"/>
      <c r="M3" s="2"/>
      <c r="N3" s="2"/>
      <c r="O3" s="2"/>
      <c r="P3" s="2"/>
      <c r="Q3" s="2"/>
      <c r="R3" s="2"/>
      <c r="S3" s="2"/>
      <c r="T3" s="2"/>
      <c r="U3" s="2"/>
      <c r="V3" s="2"/>
      <c r="W3" s="2"/>
      <c r="X3" s="2"/>
      <c r="Y3" s="2"/>
      <c r="Z3" s="2"/>
    </row>
    <row r="4" ht="30.0" customHeight="1">
      <c r="A4" s="16" t="s">
        <v>200</v>
      </c>
      <c r="B4" s="16" t="s">
        <v>201</v>
      </c>
      <c r="C4" s="16" t="s">
        <v>202</v>
      </c>
      <c r="D4" s="16" t="s">
        <v>203</v>
      </c>
      <c r="E4" s="16" t="s">
        <v>204</v>
      </c>
      <c r="F4" s="16" t="s">
        <v>205</v>
      </c>
      <c r="G4" s="16" t="s">
        <v>206</v>
      </c>
      <c r="H4" s="6"/>
      <c r="I4" s="6"/>
      <c r="J4" s="6"/>
      <c r="K4" s="6"/>
      <c r="L4" s="6"/>
      <c r="M4" s="6"/>
      <c r="N4" s="6"/>
      <c r="O4" s="6"/>
      <c r="P4" s="6"/>
      <c r="Q4" s="6"/>
      <c r="R4" s="6"/>
      <c r="S4" s="6"/>
      <c r="T4" s="6"/>
      <c r="U4" s="6"/>
      <c r="V4" s="6"/>
      <c r="W4" s="6"/>
      <c r="X4" s="6"/>
      <c r="Y4" s="6"/>
      <c r="Z4" s="6"/>
    </row>
    <row r="5" ht="34.5" customHeight="1">
      <c r="A5" s="17" t="s">
        <v>207</v>
      </c>
      <c r="B5" s="17" t="s">
        <v>45</v>
      </c>
      <c r="C5" s="17" t="s">
        <v>45</v>
      </c>
      <c r="D5" s="17" t="s">
        <v>45</v>
      </c>
      <c r="E5" s="17" t="s">
        <v>208</v>
      </c>
      <c r="F5" s="17" t="s">
        <v>209</v>
      </c>
      <c r="G5" s="17" t="s">
        <v>210</v>
      </c>
      <c r="H5" s="6"/>
      <c r="I5" s="6"/>
      <c r="J5" s="6"/>
      <c r="K5" s="6"/>
      <c r="L5" s="6"/>
      <c r="M5" s="6"/>
      <c r="N5" s="6"/>
      <c r="O5" s="6"/>
      <c r="P5" s="6"/>
      <c r="Q5" s="6"/>
      <c r="R5" s="6"/>
      <c r="S5" s="6"/>
      <c r="T5" s="6"/>
      <c r="U5" s="6"/>
      <c r="V5" s="6"/>
      <c r="W5" s="6"/>
      <c r="X5" s="6"/>
      <c r="Y5" s="6"/>
      <c r="Z5" s="6"/>
    </row>
    <row r="6" ht="34.5" customHeight="1">
      <c r="A6" s="19" t="s">
        <v>211</v>
      </c>
      <c r="B6" s="19" t="s">
        <v>45</v>
      </c>
      <c r="C6" s="19" t="s">
        <v>45</v>
      </c>
      <c r="D6" s="19" t="s">
        <v>45</v>
      </c>
      <c r="E6" s="19" t="s">
        <v>208</v>
      </c>
      <c r="F6" s="19" t="s">
        <v>212</v>
      </c>
      <c r="G6" s="19" t="s">
        <v>213</v>
      </c>
      <c r="H6" s="6"/>
      <c r="I6" s="6"/>
      <c r="J6" s="6"/>
      <c r="K6" s="6"/>
      <c r="L6" s="6"/>
      <c r="M6" s="6"/>
      <c r="N6" s="6"/>
      <c r="O6" s="6"/>
      <c r="P6" s="6"/>
      <c r="Q6" s="6"/>
      <c r="R6" s="6"/>
      <c r="S6" s="6"/>
      <c r="T6" s="6"/>
      <c r="U6" s="6"/>
      <c r="V6" s="6"/>
      <c r="W6" s="6"/>
      <c r="X6" s="6"/>
      <c r="Y6" s="6"/>
      <c r="Z6" s="6"/>
    </row>
    <row r="7" ht="34.5" customHeight="1">
      <c r="A7" s="17" t="s">
        <v>214</v>
      </c>
      <c r="B7" s="17" t="s">
        <v>45</v>
      </c>
      <c r="C7" s="17" t="s">
        <v>45</v>
      </c>
      <c r="D7" s="17" t="s">
        <v>45</v>
      </c>
      <c r="E7" s="17" t="s">
        <v>208</v>
      </c>
      <c r="F7" s="17" t="s">
        <v>215</v>
      </c>
      <c r="G7" s="17" t="s">
        <v>216</v>
      </c>
      <c r="H7" s="6"/>
      <c r="I7" s="6"/>
      <c r="J7" s="6"/>
      <c r="K7" s="6"/>
      <c r="L7" s="6"/>
      <c r="M7" s="6"/>
      <c r="N7" s="6"/>
      <c r="O7" s="6"/>
      <c r="P7" s="6"/>
      <c r="Q7" s="6"/>
      <c r="R7" s="6"/>
      <c r="S7" s="6"/>
      <c r="T7" s="6"/>
      <c r="U7" s="6"/>
      <c r="V7" s="6"/>
      <c r="W7" s="6"/>
      <c r="X7" s="6"/>
      <c r="Y7" s="6"/>
      <c r="Z7" s="6"/>
    </row>
    <row r="8" ht="34.5" customHeight="1">
      <c r="A8" s="19" t="s">
        <v>217</v>
      </c>
      <c r="B8" s="19" t="s">
        <v>45</v>
      </c>
      <c r="C8" s="19" t="s">
        <v>45</v>
      </c>
      <c r="D8" s="19" t="s">
        <v>45</v>
      </c>
      <c r="E8" s="19" t="s">
        <v>208</v>
      </c>
      <c r="F8" s="19" t="s">
        <v>218</v>
      </c>
      <c r="G8" s="19" t="s">
        <v>219</v>
      </c>
      <c r="H8" s="6"/>
      <c r="I8" s="6"/>
      <c r="J8" s="6"/>
      <c r="K8" s="6"/>
      <c r="L8" s="6"/>
      <c r="M8" s="6"/>
      <c r="N8" s="6"/>
      <c r="O8" s="6"/>
      <c r="P8" s="6"/>
      <c r="Q8" s="6"/>
      <c r="R8" s="6"/>
      <c r="S8" s="6"/>
      <c r="T8" s="6"/>
      <c r="U8" s="6"/>
      <c r="V8" s="6"/>
      <c r="W8" s="6"/>
      <c r="X8" s="6"/>
      <c r="Y8" s="6"/>
      <c r="Z8" s="6"/>
    </row>
    <row r="9" ht="34.5" customHeight="1">
      <c r="A9" s="17" t="s">
        <v>220</v>
      </c>
      <c r="B9" s="17" t="s">
        <v>45</v>
      </c>
      <c r="C9" s="17" t="s">
        <v>45</v>
      </c>
      <c r="D9" s="17" t="s">
        <v>45</v>
      </c>
      <c r="E9" s="17" t="s">
        <v>208</v>
      </c>
      <c r="F9" s="17" t="s">
        <v>221</v>
      </c>
      <c r="G9" s="17" t="s">
        <v>222</v>
      </c>
      <c r="H9" s="6"/>
      <c r="I9" s="6"/>
      <c r="J9" s="6"/>
      <c r="K9" s="6"/>
      <c r="L9" s="6"/>
      <c r="M9" s="6"/>
      <c r="N9" s="6"/>
      <c r="O9" s="6"/>
      <c r="P9" s="6"/>
      <c r="Q9" s="6"/>
      <c r="R9" s="6"/>
      <c r="S9" s="6"/>
      <c r="T9" s="6"/>
      <c r="U9" s="6"/>
      <c r="V9" s="6"/>
      <c r="W9" s="6"/>
      <c r="X9" s="6"/>
      <c r="Y9" s="6"/>
      <c r="Z9" s="6"/>
    </row>
    <row r="10" ht="34.5" customHeight="1">
      <c r="A10" s="19" t="s">
        <v>223</v>
      </c>
      <c r="B10" s="19" t="s">
        <v>45</v>
      </c>
      <c r="C10" s="19" t="s">
        <v>45</v>
      </c>
      <c r="D10" s="19" t="s">
        <v>45</v>
      </c>
      <c r="E10" s="19" t="s">
        <v>208</v>
      </c>
      <c r="F10" s="19" t="s">
        <v>224</v>
      </c>
      <c r="G10" s="19" t="s">
        <v>225</v>
      </c>
      <c r="H10" s="6"/>
      <c r="I10" s="6"/>
      <c r="J10" s="6"/>
      <c r="K10" s="6"/>
      <c r="L10" s="6"/>
      <c r="M10" s="6"/>
      <c r="N10" s="6"/>
      <c r="O10" s="6"/>
      <c r="P10" s="6"/>
      <c r="Q10" s="6"/>
      <c r="R10" s="6"/>
      <c r="S10" s="6"/>
      <c r="T10" s="6"/>
      <c r="U10" s="6"/>
      <c r="V10" s="6"/>
      <c r="W10" s="6"/>
      <c r="X10" s="6"/>
      <c r="Y10" s="6"/>
      <c r="Z10" s="6"/>
    </row>
    <row r="11" ht="34.5" customHeight="1">
      <c r="A11" s="17" t="s">
        <v>226</v>
      </c>
      <c r="B11" s="17" t="s">
        <v>227</v>
      </c>
      <c r="C11" s="17" t="s">
        <v>67</v>
      </c>
      <c r="D11" s="17" t="s">
        <v>45</v>
      </c>
      <c r="E11" s="17" t="s">
        <v>228</v>
      </c>
      <c r="F11" s="17" t="s">
        <v>229</v>
      </c>
      <c r="G11" s="17" t="s">
        <v>230</v>
      </c>
      <c r="H11" s="6"/>
      <c r="I11" s="6"/>
      <c r="J11" s="6"/>
      <c r="K11" s="6"/>
      <c r="L11" s="6"/>
      <c r="M11" s="6"/>
      <c r="N11" s="6"/>
      <c r="O11" s="6"/>
      <c r="P11" s="6"/>
      <c r="Q11" s="6"/>
      <c r="R11" s="6"/>
      <c r="S11" s="6"/>
      <c r="T11" s="6"/>
      <c r="U11" s="6"/>
      <c r="V11" s="6"/>
      <c r="W11" s="6"/>
      <c r="X11" s="6"/>
      <c r="Y11" s="6"/>
      <c r="Z11" s="6"/>
    </row>
    <row r="12" ht="34.5" customHeight="1">
      <c r="A12" s="19" t="s">
        <v>231</v>
      </c>
      <c r="B12" s="19" t="s">
        <v>67</v>
      </c>
      <c r="C12" s="19" t="s">
        <v>45</v>
      </c>
      <c r="D12" s="19" t="s">
        <v>45</v>
      </c>
      <c r="E12" s="19" t="s">
        <v>228</v>
      </c>
      <c r="F12" s="19" t="s">
        <v>232</v>
      </c>
      <c r="G12" s="19" t="s">
        <v>233</v>
      </c>
      <c r="H12" s="6"/>
      <c r="I12" s="6"/>
      <c r="J12" s="6"/>
      <c r="K12" s="6"/>
      <c r="L12" s="6"/>
      <c r="M12" s="6"/>
      <c r="N12" s="6"/>
      <c r="O12" s="6"/>
      <c r="P12" s="6"/>
      <c r="Q12" s="6"/>
      <c r="R12" s="6"/>
      <c r="S12" s="6"/>
      <c r="T12" s="6"/>
      <c r="U12" s="6"/>
      <c r="V12" s="6"/>
      <c r="W12" s="6"/>
      <c r="X12" s="6"/>
      <c r="Y12" s="6"/>
      <c r="Z12" s="6"/>
    </row>
    <row r="13" ht="34.5" customHeight="1">
      <c r="A13" s="17" t="s">
        <v>234</v>
      </c>
      <c r="B13" s="17" t="s">
        <v>227</v>
      </c>
      <c r="C13" s="17" t="s">
        <v>45</v>
      </c>
      <c r="D13" s="17" t="s">
        <v>45</v>
      </c>
      <c r="E13" s="17" t="s">
        <v>235</v>
      </c>
      <c r="F13" s="17" t="s">
        <v>236</v>
      </c>
      <c r="G13" s="17" t="s">
        <v>237</v>
      </c>
      <c r="H13" s="6"/>
      <c r="I13" s="6"/>
      <c r="J13" s="6"/>
      <c r="K13" s="6"/>
      <c r="L13" s="6"/>
      <c r="M13" s="6"/>
      <c r="N13" s="6"/>
      <c r="O13" s="6"/>
      <c r="P13" s="6"/>
      <c r="Q13" s="6"/>
      <c r="R13" s="6"/>
      <c r="S13" s="6"/>
      <c r="T13" s="6"/>
      <c r="U13" s="6"/>
      <c r="V13" s="6"/>
      <c r="W13" s="6"/>
      <c r="X13" s="6"/>
      <c r="Y13" s="6"/>
      <c r="Z13" s="6"/>
    </row>
    <row r="14" ht="34.5" customHeight="1">
      <c r="A14" s="19" t="s">
        <v>238</v>
      </c>
      <c r="B14" s="19" t="s">
        <v>45</v>
      </c>
      <c r="C14" s="19" t="s">
        <v>67</v>
      </c>
      <c r="D14" s="19" t="s">
        <v>67</v>
      </c>
      <c r="E14" s="19" t="s">
        <v>239</v>
      </c>
      <c r="F14" s="19" t="s">
        <v>240</v>
      </c>
      <c r="G14" s="19" t="s">
        <v>241</v>
      </c>
      <c r="H14" s="6"/>
      <c r="I14" s="6"/>
      <c r="J14" s="6"/>
      <c r="K14" s="6"/>
      <c r="L14" s="6"/>
      <c r="M14" s="6"/>
      <c r="N14" s="6"/>
      <c r="O14" s="6"/>
      <c r="P14" s="6"/>
      <c r="Q14" s="6"/>
      <c r="R14" s="6"/>
      <c r="S14" s="6"/>
      <c r="T14" s="6"/>
      <c r="U14" s="6"/>
      <c r="V14" s="6"/>
      <c r="W14" s="6"/>
      <c r="X14" s="6"/>
      <c r="Y14" s="6"/>
      <c r="Z14" s="6"/>
    </row>
    <row r="15" ht="34.5" customHeight="1">
      <c r="A15" s="24" t="s">
        <v>242</v>
      </c>
      <c r="B15" s="24" t="s">
        <v>45</v>
      </c>
      <c r="C15" s="24" t="s">
        <v>45</v>
      </c>
      <c r="D15" s="24" t="s">
        <v>67</v>
      </c>
      <c r="E15" s="24" t="s">
        <v>239</v>
      </c>
      <c r="F15" s="24" t="s">
        <v>243</v>
      </c>
      <c r="G15" s="24" t="s">
        <v>244</v>
      </c>
      <c r="H15" s="6"/>
      <c r="I15" s="6"/>
      <c r="J15" s="6"/>
      <c r="K15" s="6"/>
      <c r="L15" s="6"/>
      <c r="M15" s="6"/>
      <c r="N15" s="6"/>
      <c r="O15" s="6"/>
      <c r="P15" s="6"/>
      <c r="Q15" s="6"/>
      <c r="R15" s="6"/>
      <c r="S15" s="6"/>
      <c r="T15" s="6"/>
      <c r="U15" s="6"/>
      <c r="V15" s="6"/>
      <c r="W15" s="6"/>
      <c r="X15" s="6"/>
      <c r="Y15" s="6"/>
      <c r="Z15" s="6"/>
    </row>
    <row r="16" ht="46.5" customHeight="1">
      <c r="A16" s="19" t="s">
        <v>245</v>
      </c>
      <c r="B16" s="19" t="s">
        <v>45</v>
      </c>
      <c r="C16" s="19" t="s">
        <v>45</v>
      </c>
      <c r="D16" s="19" t="s">
        <v>45</v>
      </c>
      <c r="E16" s="19" t="s">
        <v>208</v>
      </c>
      <c r="F16" s="19" t="s">
        <v>246</v>
      </c>
      <c r="G16" s="19" t="s">
        <v>247</v>
      </c>
      <c r="H16" s="6"/>
      <c r="I16" s="6"/>
      <c r="J16" s="6"/>
      <c r="K16" s="6"/>
      <c r="L16" s="6"/>
      <c r="M16" s="6"/>
      <c r="N16" s="6"/>
      <c r="O16" s="6"/>
      <c r="P16" s="6"/>
      <c r="Q16" s="6"/>
      <c r="R16" s="6"/>
      <c r="S16" s="6"/>
      <c r="T16" s="6"/>
      <c r="U16" s="6"/>
      <c r="V16" s="6"/>
      <c r="W16" s="6"/>
      <c r="X16" s="6"/>
      <c r="Y16" s="6"/>
      <c r="Z16" s="6"/>
    </row>
    <row r="17" ht="39.75" customHeight="1">
      <c r="A17" s="24" t="s">
        <v>248</v>
      </c>
      <c r="B17" s="24" t="s">
        <v>45</v>
      </c>
      <c r="C17" s="24" t="s">
        <v>45</v>
      </c>
      <c r="D17" s="24" t="s">
        <v>45</v>
      </c>
      <c r="E17" s="24" t="s">
        <v>208</v>
      </c>
      <c r="F17" s="24" t="s">
        <v>249</v>
      </c>
      <c r="G17" s="24" t="s">
        <v>250</v>
      </c>
      <c r="H17" s="6"/>
      <c r="I17" s="6"/>
      <c r="J17" s="6"/>
      <c r="K17" s="6"/>
      <c r="L17" s="6"/>
      <c r="M17" s="6"/>
      <c r="N17" s="6"/>
      <c r="O17" s="6"/>
      <c r="P17" s="6"/>
      <c r="Q17" s="6"/>
      <c r="R17" s="6"/>
      <c r="S17" s="6"/>
      <c r="T17" s="6"/>
      <c r="U17" s="6"/>
      <c r="V17" s="6"/>
      <c r="W17" s="6"/>
      <c r="X17" s="6"/>
      <c r="Y17" s="6"/>
      <c r="Z17" s="6"/>
    </row>
    <row r="18" ht="41.25" customHeight="1">
      <c r="A18" s="19" t="s">
        <v>251</v>
      </c>
      <c r="B18" s="19" t="s">
        <v>67</v>
      </c>
      <c r="C18" s="19" t="s">
        <v>45</v>
      </c>
      <c r="D18" s="19" t="s">
        <v>45</v>
      </c>
      <c r="E18" s="19" t="s">
        <v>228</v>
      </c>
      <c r="F18" s="19" t="s">
        <v>252</v>
      </c>
      <c r="G18" s="19" t="s">
        <v>253</v>
      </c>
      <c r="H18" s="6"/>
      <c r="I18" s="6"/>
      <c r="J18" s="6"/>
      <c r="K18" s="6"/>
      <c r="L18" s="6"/>
      <c r="M18" s="6"/>
      <c r="N18" s="6"/>
      <c r="O18" s="6"/>
      <c r="P18" s="6"/>
      <c r="Q18" s="6"/>
      <c r="R18" s="6"/>
      <c r="S18" s="6"/>
      <c r="T18" s="6"/>
      <c r="U18" s="6"/>
      <c r="V18" s="6"/>
      <c r="W18" s="6"/>
      <c r="X18" s="6"/>
      <c r="Y18" s="6"/>
      <c r="Z18" s="6"/>
    </row>
    <row r="19" ht="40.5" customHeight="1">
      <c r="A19" s="24" t="s">
        <v>254</v>
      </c>
      <c r="B19" s="24" t="s">
        <v>45</v>
      </c>
      <c r="C19" s="24" t="s">
        <v>45</v>
      </c>
      <c r="D19" s="24" t="s">
        <v>45</v>
      </c>
      <c r="E19" s="24" t="s">
        <v>208</v>
      </c>
      <c r="F19" s="24" t="s">
        <v>255</v>
      </c>
      <c r="G19" s="24" t="s">
        <v>256</v>
      </c>
      <c r="H19" s="6"/>
      <c r="I19" s="6"/>
      <c r="J19" s="6"/>
      <c r="K19" s="6"/>
      <c r="L19" s="6"/>
      <c r="M19" s="6"/>
      <c r="N19" s="6"/>
      <c r="O19" s="6"/>
      <c r="P19" s="6"/>
      <c r="Q19" s="6"/>
      <c r="R19" s="6"/>
      <c r="S19" s="6"/>
      <c r="T19" s="6"/>
      <c r="U19" s="6"/>
      <c r="V19" s="6"/>
      <c r="W19" s="6"/>
      <c r="X19" s="6"/>
      <c r="Y19" s="6"/>
      <c r="Z19" s="6"/>
    </row>
    <row r="20" ht="15.7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mergeCells count="2">
    <mergeCell ref="A1:G1"/>
    <mergeCell ref="A2:G2"/>
  </mergeCells>
  <dataValidations>
    <dataValidation type="list" allowBlank="1" showInputMessage="1" showErrorMessage="1" prompt="Valor no admitido - Veredictos admitidos: Entidad, Atributo, Rol, Producto del sistema o Elemento del entorno." sqref="E5:E19">
      <formula1>"Entidad,Atributo de otra entidad,Rol de una entidad,Producto del sistema,Elemento del entorno"</formula1>
    </dataValidation>
    <dataValidation type="list" allowBlank="1" showInputMessage="1" showErrorMessage="1" prompt="Valor no admitido - Responda Sí, No o Parcialmente." sqref="B5:D19">
      <formula1>"Sí,No,Parcialmente"</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86"/>
    <col customWidth="1" min="2" max="2" width="13.71"/>
    <col customWidth="1" min="3" max="3" width="103.14"/>
    <col customWidth="1" min="4" max="4" width="106.43"/>
    <col customWidth="1" min="5" max="5" width="13.14"/>
    <col customWidth="1" min="6" max="6" width="20.0"/>
  </cols>
  <sheetData>
    <row r="1" ht="19.5" customHeight="1">
      <c r="A1" s="14" t="s">
        <v>257</v>
      </c>
      <c r="H1" s="2"/>
      <c r="I1" s="2"/>
      <c r="J1" s="2"/>
      <c r="K1" s="2"/>
      <c r="L1" s="2"/>
      <c r="M1" s="2"/>
      <c r="N1" s="2"/>
      <c r="O1" s="2"/>
      <c r="P1" s="2"/>
      <c r="Q1" s="2"/>
      <c r="R1" s="2"/>
      <c r="S1" s="2"/>
      <c r="T1" s="2"/>
      <c r="U1" s="2"/>
      <c r="V1" s="2"/>
      <c r="W1" s="2"/>
      <c r="X1" s="2"/>
      <c r="Y1" s="2"/>
      <c r="Z1" s="2"/>
    </row>
    <row r="2" ht="25.5" customHeight="1">
      <c r="A2" s="15" t="s">
        <v>258</v>
      </c>
      <c r="H2" s="2"/>
      <c r="I2" s="2"/>
      <c r="J2" s="2"/>
      <c r="K2" s="2"/>
      <c r="L2" s="2"/>
      <c r="M2" s="2"/>
      <c r="N2" s="2"/>
      <c r="O2" s="2"/>
      <c r="P2" s="2"/>
      <c r="Q2" s="2"/>
      <c r="R2" s="2"/>
      <c r="S2" s="2"/>
      <c r="T2" s="2"/>
      <c r="U2" s="2"/>
      <c r="V2" s="2"/>
      <c r="W2" s="2"/>
      <c r="X2" s="2"/>
      <c r="Y2" s="2"/>
      <c r="Z2" s="2"/>
    </row>
    <row r="3" ht="15.0" customHeight="1">
      <c r="A3" s="2"/>
      <c r="B3" s="2"/>
      <c r="C3" s="2"/>
      <c r="D3" s="2"/>
      <c r="E3" s="2"/>
      <c r="F3" s="2"/>
      <c r="G3" s="2"/>
      <c r="H3" s="2"/>
      <c r="I3" s="2"/>
      <c r="J3" s="2"/>
      <c r="K3" s="2"/>
      <c r="L3" s="2"/>
      <c r="M3" s="2"/>
      <c r="N3" s="2"/>
      <c r="O3" s="2"/>
      <c r="P3" s="2"/>
      <c r="Q3" s="2"/>
      <c r="R3" s="2"/>
      <c r="S3" s="2"/>
      <c r="T3" s="2"/>
      <c r="U3" s="2"/>
      <c r="V3" s="2"/>
      <c r="W3" s="2"/>
      <c r="X3" s="2"/>
      <c r="Y3" s="2"/>
      <c r="Z3" s="2"/>
    </row>
    <row r="4" ht="30.0" customHeight="1">
      <c r="A4" s="16" t="s">
        <v>259</v>
      </c>
      <c r="B4" s="16" t="s">
        <v>27</v>
      </c>
      <c r="C4" s="16" t="s">
        <v>260</v>
      </c>
      <c r="D4" s="16" t="s">
        <v>261</v>
      </c>
      <c r="E4" s="16" t="s">
        <v>262</v>
      </c>
      <c r="F4" s="16" t="s">
        <v>263</v>
      </c>
      <c r="G4" s="2"/>
      <c r="H4" s="2"/>
      <c r="I4" s="2"/>
      <c r="J4" s="2"/>
      <c r="K4" s="2"/>
      <c r="L4" s="2"/>
      <c r="M4" s="2"/>
      <c r="N4" s="2"/>
      <c r="O4" s="2"/>
      <c r="P4" s="2"/>
      <c r="Q4" s="2"/>
      <c r="R4" s="2"/>
      <c r="S4" s="2"/>
      <c r="T4" s="2"/>
      <c r="U4" s="2"/>
      <c r="V4" s="2"/>
      <c r="W4" s="2"/>
      <c r="X4" s="2"/>
      <c r="Y4" s="2"/>
      <c r="Z4" s="2"/>
    </row>
    <row r="5" ht="64.5" customHeight="1">
      <c r="A5" s="25" t="s">
        <v>264</v>
      </c>
      <c r="B5" s="17" t="s">
        <v>265</v>
      </c>
      <c r="C5" s="17" t="s">
        <v>266</v>
      </c>
      <c r="D5" s="17" t="s">
        <v>267</v>
      </c>
      <c r="E5" s="17" t="s">
        <v>268</v>
      </c>
      <c r="F5" s="17" t="s">
        <v>37</v>
      </c>
      <c r="G5" s="2"/>
      <c r="H5" s="2"/>
      <c r="I5" s="2"/>
      <c r="J5" s="2"/>
      <c r="K5" s="2"/>
      <c r="L5" s="2"/>
      <c r="M5" s="2"/>
      <c r="N5" s="2"/>
      <c r="O5" s="2"/>
      <c r="P5" s="2"/>
      <c r="Q5" s="2"/>
      <c r="R5" s="2"/>
      <c r="S5" s="2"/>
      <c r="T5" s="2"/>
      <c r="U5" s="2"/>
      <c r="V5" s="2"/>
      <c r="W5" s="2"/>
      <c r="X5" s="2"/>
      <c r="Y5" s="2"/>
      <c r="Z5" s="2"/>
    </row>
    <row r="6" ht="64.5" customHeight="1">
      <c r="A6" s="19" t="s">
        <v>269</v>
      </c>
      <c r="B6" s="19" t="s">
        <v>265</v>
      </c>
      <c r="C6" s="19" t="s">
        <v>270</v>
      </c>
      <c r="D6" s="19" t="s">
        <v>271</v>
      </c>
      <c r="E6" s="19" t="s">
        <v>268</v>
      </c>
      <c r="F6" s="19" t="s">
        <v>56</v>
      </c>
      <c r="G6" s="2"/>
      <c r="H6" s="2"/>
      <c r="I6" s="2"/>
      <c r="J6" s="2"/>
      <c r="K6" s="2"/>
      <c r="L6" s="2"/>
      <c r="M6" s="2"/>
      <c r="N6" s="2"/>
      <c r="O6" s="2"/>
      <c r="P6" s="2"/>
      <c r="Q6" s="2"/>
      <c r="R6" s="2"/>
      <c r="S6" s="2"/>
      <c r="T6" s="2"/>
      <c r="U6" s="2"/>
      <c r="V6" s="2"/>
      <c r="W6" s="2"/>
      <c r="X6" s="2"/>
      <c r="Y6" s="2"/>
      <c r="Z6" s="2"/>
    </row>
    <row r="7" ht="64.5" customHeight="1">
      <c r="A7" s="17" t="s">
        <v>272</v>
      </c>
      <c r="B7" s="17" t="s">
        <v>265</v>
      </c>
      <c r="C7" s="17" t="s">
        <v>273</v>
      </c>
      <c r="D7" s="17" t="s">
        <v>274</v>
      </c>
      <c r="E7" s="17" t="s">
        <v>268</v>
      </c>
      <c r="F7" s="17" t="s">
        <v>61</v>
      </c>
      <c r="G7" s="2"/>
      <c r="H7" s="2"/>
      <c r="I7" s="2"/>
      <c r="J7" s="2"/>
      <c r="K7" s="2"/>
      <c r="L7" s="2"/>
      <c r="M7" s="2"/>
      <c r="N7" s="2"/>
      <c r="O7" s="2"/>
      <c r="P7" s="2"/>
      <c r="Q7" s="2"/>
      <c r="R7" s="2"/>
      <c r="S7" s="2"/>
      <c r="T7" s="2"/>
      <c r="U7" s="2"/>
      <c r="V7" s="2"/>
      <c r="W7" s="2"/>
      <c r="X7" s="2"/>
      <c r="Y7" s="2"/>
      <c r="Z7" s="2"/>
    </row>
    <row r="8" ht="64.5" customHeight="1">
      <c r="A8" s="19" t="s">
        <v>275</v>
      </c>
      <c r="B8" s="19" t="s">
        <v>276</v>
      </c>
      <c r="C8" s="19" t="s">
        <v>277</v>
      </c>
      <c r="D8" s="19" t="s">
        <v>278</v>
      </c>
      <c r="E8" s="20" t="s">
        <v>268</v>
      </c>
      <c r="F8" s="19" t="s">
        <v>68</v>
      </c>
      <c r="G8" s="2"/>
      <c r="H8" s="2"/>
      <c r="I8" s="2"/>
      <c r="J8" s="2"/>
      <c r="K8" s="2"/>
      <c r="L8" s="2"/>
      <c r="M8" s="2"/>
      <c r="N8" s="2"/>
      <c r="O8" s="2"/>
      <c r="P8" s="2"/>
      <c r="Q8" s="2"/>
      <c r="R8" s="2"/>
      <c r="S8" s="2"/>
      <c r="T8" s="2"/>
      <c r="U8" s="2"/>
      <c r="V8" s="2"/>
      <c r="W8" s="2"/>
      <c r="X8" s="2"/>
      <c r="Y8" s="2"/>
      <c r="Z8" s="2"/>
    </row>
    <row r="9" ht="64.5" customHeight="1">
      <c r="A9" s="17" t="s">
        <v>279</v>
      </c>
      <c r="B9" s="17" t="s">
        <v>265</v>
      </c>
      <c r="C9" s="17" t="s">
        <v>280</v>
      </c>
      <c r="D9" s="17" t="s">
        <v>281</v>
      </c>
      <c r="E9" s="17" t="s">
        <v>268</v>
      </c>
      <c r="F9" s="17" t="s">
        <v>73</v>
      </c>
      <c r="G9" s="2"/>
      <c r="H9" s="2"/>
      <c r="I9" s="2"/>
      <c r="J9" s="2"/>
      <c r="K9" s="2"/>
      <c r="L9" s="2"/>
      <c r="M9" s="2"/>
      <c r="N9" s="2"/>
      <c r="O9" s="2"/>
      <c r="P9" s="2"/>
      <c r="Q9" s="2"/>
      <c r="R9" s="2"/>
      <c r="S9" s="2"/>
      <c r="T9" s="2"/>
      <c r="U9" s="2"/>
      <c r="V9" s="2"/>
      <c r="W9" s="2"/>
      <c r="X9" s="2"/>
      <c r="Y9" s="2"/>
      <c r="Z9" s="2"/>
    </row>
    <row r="10" ht="64.5" customHeight="1">
      <c r="A10" s="19" t="s">
        <v>282</v>
      </c>
      <c r="B10" s="19" t="s">
        <v>283</v>
      </c>
      <c r="C10" s="19" t="s">
        <v>284</v>
      </c>
      <c r="D10" s="19" t="s">
        <v>193</v>
      </c>
      <c r="E10" s="19" t="s">
        <v>268</v>
      </c>
      <c r="F10" s="19" t="s">
        <v>98</v>
      </c>
      <c r="G10" s="2"/>
      <c r="H10" s="2"/>
      <c r="I10" s="2"/>
      <c r="J10" s="2"/>
      <c r="K10" s="2"/>
      <c r="L10" s="2"/>
      <c r="M10" s="2"/>
      <c r="N10" s="2"/>
      <c r="O10" s="2"/>
      <c r="P10" s="2"/>
      <c r="Q10" s="2"/>
      <c r="R10" s="2"/>
      <c r="S10" s="2"/>
      <c r="T10" s="2"/>
      <c r="U10" s="2"/>
      <c r="V10" s="2"/>
      <c r="W10" s="2"/>
      <c r="X10" s="2"/>
      <c r="Y10" s="2"/>
      <c r="Z10" s="2"/>
    </row>
    <row r="11" ht="64.5" customHeight="1">
      <c r="A11" s="17" t="s">
        <v>285</v>
      </c>
      <c r="B11" s="17" t="s">
        <v>276</v>
      </c>
      <c r="C11" s="17" t="s">
        <v>286</v>
      </c>
      <c r="D11" s="17" t="s">
        <v>287</v>
      </c>
      <c r="E11" s="17" t="s">
        <v>268</v>
      </c>
      <c r="F11" s="17" t="s">
        <v>51</v>
      </c>
      <c r="G11" s="2"/>
      <c r="H11" s="2"/>
      <c r="I11" s="2"/>
      <c r="J11" s="2"/>
      <c r="K11" s="2"/>
      <c r="L11" s="2"/>
      <c r="M11" s="2"/>
      <c r="N11" s="2"/>
      <c r="O11" s="2"/>
      <c r="P11" s="2"/>
      <c r="Q11" s="2"/>
      <c r="R11" s="2"/>
      <c r="S11" s="2"/>
      <c r="T11" s="2"/>
      <c r="U11" s="2"/>
      <c r="V11" s="2"/>
      <c r="W11" s="2"/>
      <c r="X11" s="2"/>
      <c r="Y11" s="2"/>
      <c r="Z11" s="2"/>
    </row>
    <row r="12" ht="54.0" customHeight="1">
      <c r="A12" s="19" t="s">
        <v>288</v>
      </c>
      <c r="B12" s="19"/>
      <c r="C12" s="19"/>
      <c r="D12" s="19"/>
      <c r="E12" s="19"/>
      <c r="F12" s="19"/>
      <c r="G12" s="2"/>
      <c r="H12" s="2"/>
      <c r="I12" s="2"/>
      <c r="J12" s="2"/>
      <c r="K12" s="2"/>
      <c r="L12" s="2"/>
      <c r="M12" s="2"/>
      <c r="N12" s="2"/>
      <c r="O12" s="2"/>
      <c r="P12" s="2"/>
      <c r="Q12" s="2"/>
      <c r="R12" s="2"/>
      <c r="S12" s="2"/>
      <c r="T12" s="2"/>
      <c r="U12" s="2"/>
      <c r="V12" s="2"/>
      <c r="W12" s="2"/>
      <c r="X12" s="2"/>
      <c r="Y12" s="2"/>
      <c r="Z12" s="2"/>
    </row>
    <row r="13" ht="33.75" customHeight="1">
      <c r="A13" s="26" t="s">
        <v>289</v>
      </c>
      <c r="B13" s="26"/>
      <c r="C13" s="26"/>
      <c r="D13" s="26"/>
      <c r="E13" s="26"/>
      <c r="F13" s="26"/>
      <c r="G13" s="2"/>
      <c r="H13" s="2"/>
      <c r="I13" s="2"/>
      <c r="J13" s="2"/>
      <c r="K13" s="2"/>
      <c r="L13" s="2"/>
      <c r="M13" s="2"/>
      <c r="N13" s="2"/>
      <c r="O13" s="2"/>
      <c r="P13" s="2"/>
      <c r="Q13" s="2"/>
      <c r="R13" s="2"/>
      <c r="S13" s="2"/>
      <c r="T13" s="2"/>
      <c r="U13" s="2"/>
      <c r="V13" s="2"/>
      <c r="W13" s="2"/>
      <c r="X13" s="2"/>
      <c r="Y13" s="2"/>
      <c r="Z13" s="2"/>
    </row>
    <row r="14" ht="33.75" customHeight="1">
      <c r="A14" s="27" t="s">
        <v>290</v>
      </c>
      <c r="B14" s="27"/>
      <c r="C14" s="27"/>
      <c r="D14" s="27"/>
      <c r="E14" s="27"/>
      <c r="F14" s="27"/>
      <c r="G14" s="2"/>
      <c r="H14" s="2"/>
      <c r="I14" s="2"/>
      <c r="J14" s="2"/>
      <c r="K14" s="2"/>
      <c r="L14" s="2"/>
      <c r="M14" s="2"/>
      <c r="N14" s="2"/>
      <c r="O14" s="2"/>
      <c r="P14" s="2"/>
      <c r="Q14" s="2"/>
      <c r="R14" s="2"/>
      <c r="S14" s="2"/>
      <c r="T14" s="2"/>
      <c r="U14" s="2"/>
      <c r="V14" s="2"/>
      <c r="W14" s="2"/>
      <c r="X14" s="2"/>
      <c r="Y14" s="2"/>
      <c r="Z14" s="2"/>
    </row>
    <row r="15" ht="33.75" customHeight="1">
      <c r="A15" s="26" t="s">
        <v>291</v>
      </c>
      <c r="B15" s="26"/>
      <c r="C15" s="26"/>
      <c r="D15" s="26"/>
      <c r="E15" s="26"/>
      <c r="F15" s="26"/>
      <c r="G15" s="2"/>
      <c r="H15" s="2"/>
      <c r="I15" s="2"/>
      <c r="J15" s="2"/>
      <c r="K15" s="2"/>
      <c r="L15" s="2"/>
      <c r="M15" s="2"/>
      <c r="N15" s="2"/>
      <c r="O15" s="2"/>
      <c r="P15" s="2"/>
      <c r="Q15" s="2"/>
      <c r="R15" s="2"/>
      <c r="S15" s="2"/>
      <c r="T15" s="2"/>
      <c r="U15" s="2"/>
      <c r="V15" s="2"/>
      <c r="W15" s="2"/>
      <c r="X15" s="2"/>
      <c r="Y15" s="2"/>
      <c r="Z15" s="2"/>
    </row>
    <row r="16" ht="33.75" customHeight="1">
      <c r="A16" s="27" t="s">
        <v>292</v>
      </c>
      <c r="B16" s="27"/>
      <c r="C16" s="27"/>
      <c r="D16" s="27"/>
      <c r="E16" s="27"/>
      <c r="F16" s="27"/>
      <c r="G16" s="2"/>
      <c r="H16" s="2"/>
      <c r="I16" s="2"/>
      <c r="J16" s="2"/>
      <c r="K16" s="2"/>
      <c r="L16" s="2"/>
      <c r="M16" s="2"/>
      <c r="N16" s="2"/>
      <c r="O16" s="2"/>
      <c r="P16" s="2"/>
      <c r="Q16" s="2"/>
      <c r="R16" s="2"/>
      <c r="S16" s="2"/>
      <c r="T16" s="2"/>
      <c r="U16" s="2"/>
      <c r="V16" s="2"/>
      <c r="W16" s="2"/>
      <c r="X16" s="2"/>
      <c r="Y16" s="2"/>
      <c r="Z16" s="2"/>
    </row>
    <row r="17" ht="33.75" customHeight="1">
      <c r="A17" s="26" t="s">
        <v>293</v>
      </c>
      <c r="B17" s="26"/>
      <c r="C17" s="26"/>
      <c r="D17" s="26"/>
      <c r="E17" s="26"/>
      <c r="F17" s="26"/>
      <c r="G17" s="2"/>
      <c r="H17" s="2"/>
      <c r="I17" s="2"/>
      <c r="J17" s="2"/>
      <c r="K17" s="2"/>
      <c r="L17" s="2"/>
      <c r="M17" s="2"/>
      <c r="N17" s="2"/>
      <c r="O17" s="2"/>
      <c r="P17" s="2"/>
      <c r="Q17" s="2"/>
      <c r="R17" s="2"/>
      <c r="S17" s="2"/>
      <c r="T17" s="2"/>
      <c r="U17" s="2"/>
      <c r="V17" s="2"/>
      <c r="W17" s="2"/>
      <c r="X17" s="2"/>
      <c r="Y17" s="2"/>
      <c r="Z17" s="2"/>
    </row>
    <row r="18" ht="33.75" customHeight="1">
      <c r="A18" s="27" t="s">
        <v>294</v>
      </c>
      <c r="B18" s="27"/>
      <c r="C18" s="27"/>
      <c r="D18" s="27"/>
      <c r="E18" s="27"/>
      <c r="F18" s="27"/>
      <c r="G18" s="2"/>
      <c r="H18" s="2"/>
      <c r="I18" s="2"/>
      <c r="J18" s="2"/>
      <c r="K18" s="2"/>
      <c r="L18" s="2"/>
      <c r="M18" s="2"/>
      <c r="N18" s="2"/>
      <c r="O18" s="2"/>
      <c r="P18" s="2"/>
      <c r="Q18" s="2"/>
      <c r="R18" s="2"/>
      <c r="S18" s="2"/>
      <c r="T18" s="2"/>
      <c r="U18" s="2"/>
      <c r="V18" s="2"/>
      <c r="W18" s="2"/>
      <c r="X18" s="2"/>
      <c r="Y18" s="2"/>
      <c r="Z18" s="2"/>
    </row>
    <row r="19" ht="33.75" customHeight="1">
      <c r="A19" s="26" t="s">
        <v>295</v>
      </c>
      <c r="B19" s="26"/>
      <c r="C19" s="26"/>
      <c r="D19" s="26"/>
      <c r="E19" s="26"/>
      <c r="F19" s="26"/>
      <c r="G19" s="2"/>
      <c r="H19" s="2"/>
      <c r="I19" s="2"/>
      <c r="J19" s="2"/>
      <c r="K19" s="2"/>
      <c r="L19" s="2"/>
      <c r="M19" s="2"/>
      <c r="N19" s="2"/>
      <c r="O19" s="2"/>
      <c r="P19" s="2"/>
      <c r="Q19" s="2"/>
      <c r="R19" s="2"/>
      <c r="S19" s="2"/>
      <c r="T19" s="2"/>
      <c r="U19" s="2"/>
      <c r="V19" s="2"/>
      <c r="W19" s="2"/>
      <c r="X19" s="2"/>
      <c r="Y19" s="2"/>
      <c r="Z19" s="2"/>
    </row>
    <row r="20" ht="33.75" customHeight="1">
      <c r="A20" s="27" t="s">
        <v>296</v>
      </c>
      <c r="B20" s="27"/>
      <c r="C20" s="27"/>
      <c r="D20" s="27"/>
      <c r="E20" s="27"/>
      <c r="F20" s="27"/>
      <c r="G20" s="2"/>
      <c r="H20" s="2"/>
      <c r="I20" s="2"/>
      <c r="J20" s="2"/>
      <c r="K20" s="2"/>
      <c r="L20" s="2"/>
      <c r="M20" s="2"/>
      <c r="N20" s="2"/>
      <c r="O20" s="2"/>
      <c r="P20" s="2"/>
      <c r="Q20" s="2"/>
      <c r="R20" s="2"/>
      <c r="S20" s="2"/>
      <c r="T20" s="2"/>
      <c r="U20" s="2"/>
      <c r="V20" s="2"/>
      <c r="W20" s="2"/>
      <c r="X20" s="2"/>
      <c r="Y20" s="2"/>
      <c r="Z20" s="2"/>
    </row>
    <row r="21" ht="33.75" customHeight="1">
      <c r="A21" s="26" t="s">
        <v>297</v>
      </c>
      <c r="B21" s="26"/>
      <c r="C21" s="26"/>
      <c r="D21" s="26"/>
      <c r="E21" s="26"/>
      <c r="F21" s="26"/>
      <c r="G21" s="2"/>
      <c r="H21" s="2"/>
      <c r="I21" s="2"/>
      <c r="J21" s="2"/>
      <c r="K21" s="2"/>
      <c r="L21" s="2"/>
      <c r="M21" s="2"/>
      <c r="N21" s="2"/>
      <c r="O21" s="2"/>
      <c r="P21" s="2"/>
      <c r="Q21" s="2"/>
      <c r="R21" s="2"/>
      <c r="S21" s="2"/>
      <c r="T21" s="2"/>
      <c r="U21" s="2"/>
      <c r="V21" s="2"/>
      <c r="W21" s="2"/>
      <c r="X21" s="2"/>
      <c r="Y21" s="2"/>
      <c r="Z21" s="2"/>
    </row>
    <row r="22" ht="33.75" customHeight="1">
      <c r="A22" s="27" t="s">
        <v>298</v>
      </c>
      <c r="B22" s="27"/>
      <c r="C22" s="27"/>
      <c r="D22" s="27"/>
      <c r="E22" s="27"/>
      <c r="F22" s="27"/>
      <c r="G22" s="2"/>
      <c r="H22" s="2"/>
      <c r="I22" s="2"/>
      <c r="J22" s="2"/>
      <c r="K22" s="2"/>
      <c r="L22" s="2"/>
      <c r="M22" s="2"/>
      <c r="N22" s="2"/>
      <c r="O22" s="2"/>
      <c r="P22" s="2"/>
      <c r="Q22" s="2"/>
      <c r="R22" s="2"/>
      <c r="S22" s="2"/>
      <c r="T22" s="2"/>
      <c r="U22" s="2"/>
      <c r="V22" s="2"/>
      <c r="W22" s="2"/>
      <c r="X22" s="2"/>
      <c r="Y22" s="2"/>
      <c r="Z22" s="2"/>
    </row>
    <row r="23" ht="33.75" customHeight="1">
      <c r="A23" s="26" t="s">
        <v>299</v>
      </c>
      <c r="B23" s="26"/>
      <c r="C23" s="26"/>
      <c r="D23" s="26"/>
      <c r="E23" s="26"/>
      <c r="F23" s="26"/>
      <c r="G23" s="2"/>
      <c r="H23" s="2"/>
      <c r="I23" s="2"/>
      <c r="J23" s="2"/>
      <c r="K23" s="2"/>
      <c r="L23" s="2"/>
      <c r="M23" s="2"/>
      <c r="N23" s="2"/>
      <c r="O23" s="2"/>
      <c r="P23" s="2"/>
      <c r="Q23" s="2"/>
      <c r="R23" s="2"/>
      <c r="S23" s="2"/>
      <c r="T23" s="2"/>
      <c r="U23" s="2"/>
      <c r="V23" s="2"/>
      <c r="W23" s="2"/>
      <c r="X23" s="2"/>
      <c r="Y23" s="2"/>
      <c r="Z23" s="2"/>
    </row>
    <row r="24" ht="33.75" customHeight="1">
      <c r="A24" s="27" t="s">
        <v>300</v>
      </c>
      <c r="B24" s="27"/>
      <c r="C24" s="27"/>
      <c r="D24" s="27"/>
      <c r="E24" s="27"/>
      <c r="F24" s="27"/>
      <c r="G24" s="2"/>
      <c r="H24" s="2"/>
      <c r="I24" s="2"/>
      <c r="J24" s="2"/>
      <c r="K24" s="2"/>
      <c r="L24" s="2"/>
      <c r="M24" s="2"/>
      <c r="N24" s="2"/>
      <c r="O24" s="2"/>
      <c r="P24" s="2"/>
      <c r="Q24" s="2"/>
      <c r="R24" s="2"/>
      <c r="S24" s="2"/>
      <c r="T24" s="2"/>
      <c r="U24" s="2"/>
      <c r="V24" s="2"/>
      <c r="W24" s="2"/>
      <c r="X24" s="2"/>
      <c r="Y24" s="2"/>
      <c r="Z24" s="2"/>
    </row>
    <row r="25" ht="33.75" customHeight="1">
      <c r="A25" s="26" t="s">
        <v>301</v>
      </c>
      <c r="B25" s="26"/>
      <c r="C25" s="26"/>
      <c r="D25" s="26"/>
      <c r="E25" s="26"/>
      <c r="F25" s="26"/>
      <c r="G25" s="2"/>
      <c r="H25" s="2"/>
      <c r="I25" s="2"/>
      <c r="J25" s="2"/>
      <c r="K25" s="2"/>
      <c r="L25" s="2"/>
      <c r="M25" s="2"/>
      <c r="N25" s="2"/>
      <c r="O25" s="2"/>
      <c r="P25" s="2"/>
      <c r="Q25" s="2"/>
      <c r="R25" s="2"/>
      <c r="S25" s="2"/>
      <c r="T25" s="2"/>
      <c r="U25" s="2"/>
      <c r="V25" s="2"/>
      <c r="W25" s="2"/>
      <c r="X25" s="2"/>
      <c r="Y25" s="2"/>
      <c r="Z25" s="2"/>
    </row>
    <row r="26" ht="33.75" customHeight="1">
      <c r="A26" s="27" t="s">
        <v>302</v>
      </c>
      <c r="B26" s="27"/>
      <c r="C26" s="27"/>
      <c r="D26" s="27"/>
      <c r="E26" s="27"/>
      <c r="F26" s="27"/>
      <c r="G26" s="2"/>
      <c r="H26" s="2"/>
      <c r="I26" s="2"/>
      <c r="J26" s="2"/>
      <c r="K26" s="2"/>
      <c r="L26" s="2"/>
      <c r="M26" s="2"/>
      <c r="N26" s="2"/>
      <c r="O26" s="2"/>
      <c r="P26" s="2"/>
      <c r="Q26" s="2"/>
      <c r="R26" s="2"/>
      <c r="S26" s="2"/>
      <c r="T26" s="2"/>
      <c r="U26" s="2"/>
      <c r="V26" s="2"/>
      <c r="W26" s="2"/>
      <c r="X26" s="2"/>
      <c r="Y26" s="2"/>
      <c r="Z26" s="2"/>
    </row>
    <row r="27" ht="33.75" customHeight="1">
      <c r="A27" s="26" t="s">
        <v>303</v>
      </c>
      <c r="B27" s="26"/>
      <c r="C27" s="26"/>
      <c r="D27" s="26"/>
      <c r="E27" s="26"/>
      <c r="F27" s="26"/>
      <c r="G27" s="2"/>
      <c r="H27" s="2"/>
      <c r="I27" s="2"/>
      <c r="J27" s="2"/>
      <c r="K27" s="2"/>
      <c r="L27" s="2"/>
      <c r="M27" s="2"/>
      <c r="N27" s="2"/>
      <c r="O27" s="2"/>
      <c r="P27" s="2"/>
      <c r="Q27" s="2"/>
      <c r="R27" s="2"/>
      <c r="S27" s="2"/>
      <c r="T27" s="2"/>
      <c r="U27" s="2"/>
      <c r="V27" s="2"/>
      <c r="W27" s="2"/>
      <c r="X27" s="2"/>
      <c r="Y27" s="2"/>
      <c r="Z27" s="2"/>
    </row>
    <row r="28" ht="33.75" customHeight="1">
      <c r="A28" s="27" t="s">
        <v>304</v>
      </c>
      <c r="B28" s="27"/>
      <c r="C28" s="27"/>
      <c r="D28" s="27"/>
      <c r="E28" s="27"/>
      <c r="F28" s="27"/>
      <c r="G28" s="2"/>
      <c r="H28" s="2"/>
      <c r="I28" s="2"/>
      <c r="J28" s="2"/>
      <c r="K28" s="2"/>
      <c r="L28" s="2"/>
      <c r="M28" s="2"/>
      <c r="N28" s="2"/>
      <c r="O28" s="2"/>
      <c r="P28" s="2"/>
      <c r="Q28" s="2"/>
      <c r="R28" s="2"/>
      <c r="S28" s="2"/>
      <c r="T28" s="2"/>
      <c r="U28" s="2"/>
      <c r="V28" s="2"/>
      <c r="W28" s="2"/>
      <c r="X28" s="2"/>
      <c r="Y28" s="2"/>
      <c r="Z28" s="2"/>
    </row>
    <row r="29" ht="33.75" customHeight="1">
      <c r="A29" s="26" t="s">
        <v>305</v>
      </c>
      <c r="B29" s="26"/>
      <c r="C29" s="26"/>
      <c r="D29" s="26"/>
      <c r="E29" s="26"/>
      <c r="F29" s="26"/>
      <c r="G29" s="2"/>
      <c r="H29" s="2"/>
      <c r="I29" s="2"/>
      <c r="J29" s="2"/>
      <c r="K29" s="2"/>
      <c r="L29" s="2"/>
      <c r="M29" s="2"/>
      <c r="N29" s="2"/>
      <c r="O29" s="2"/>
      <c r="P29" s="2"/>
      <c r="Q29" s="2"/>
      <c r="R29" s="2"/>
      <c r="S29" s="2"/>
      <c r="T29" s="2"/>
      <c r="U29" s="2"/>
      <c r="V29" s="2"/>
      <c r="W29" s="2"/>
      <c r="X29" s="2"/>
      <c r="Y29" s="2"/>
      <c r="Z29" s="2"/>
    </row>
    <row r="30" ht="33.75" customHeight="1">
      <c r="A30" s="27" t="s">
        <v>306</v>
      </c>
      <c r="B30" s="27"/>
      <c r="C30" s="27"/>
      <c r="D30" s="27"/>
      <c r="E30" s="27"/>
      <c r="F30" s="27"/>
      <c r="G30" s="2"/>
      <c r="H30" s="2"/>
      <c r="I30" s="2"/>
      <c r="J30" s="2"/>
      <c r="K30" s="2"/>
      <c r="L30" s="2"/>
      <c r="M30" s="2"/>
      <c r="N30" s="2"/>
      <c r="O30" s="2"/>
      <c r="P30" s="2"/>
      <c r="Q30" s="2"/>
      <c r="R30" s="2"/>
      <c r="S30" s="2"/>
      <c r="T30" s="2"/>
      <c r="U30" s="2"/>
      <c r="V30" s="2"/>
      <c r="W30" s="2"/>
      <c r="X30" s="2"/>
      <c r="Y30" s="2"/>
      <c r="Z30" s="2"/>
    </row>
    <row r="31" ht="33.75" customHeight="1">
      <c r="A31" s="26" t="s">
        <v>307</v>
      </c>
      <c r="B31" s="26"/>
      <c r="C31" s="26"/>
      <c r="D31" s="26"/>
      <c r="E31" s="26"/>
      <c r="F31" s="26"/>
      <c r="G31" s="2"/>
      <c r="H31" s="2"/>
      <c r="I31" s="2"/>
      <c r="J31" s="2"/>
      <c r="K31" s="2"/>
      <c r="L31" s="2"/>
      <c r="M31" s="2"/>
      <c r="N31" s="2"/>
      <c r="O31" s="2"/>
      <c r="P31" s="2"/>
      <c r="Q31" s="2"/>
      <c r="R31" s="2"/>
      <c r="S31" s="2"/>
      <c r="T31" s="2"/>
      <c r="U31" s="2"/>
      <c r="V31" s="2"/>
      <c r="W31" s="2"/>
      <c r="X31" s="2"/>
      <c r="Y31" s="2"/>
      <c r="Z31" s="2"/>
    </row>
    <row r="32" ht="33.75" customHeight="1">
      <c r="A32" s="27" t="s">
        <v>308</v>
      </c>
      <c r="B32" s="27"/>
      <c r="C32" s="27"/>
      <c r="D32" s="27"/>
      <c r="E32" s="27"/>
      <c r="F32" s="27"/>
      <c r="G32" s="2"/>
      <c r="H32" s="2"/>
      <c r="I32" s="2"/>
      <c r="J32" s="2"/>
      <c r="K32" s="2"/>
      <c r="L32" s="2"/>
      <c r="M32" s="2"/>
      <c r="N32" s="2"/>
      <c r="O32" s="2"/>
      <c r="P32" s="2"/>
      <c r="Q32" s="2"/>
      <c r="R32" s="2"/>
      <c r="S32" s="2"/>
      <c r="T32" s="2"/>
      <c r="U32" s="2"/>
      <c r="V32" s="2"/>
      <c r="W32" s="2"/>
      <c r="X32" s="2"/>
      <c r="Y32" s="2"/>
      <c r="Z32" s="2"/>
    </row>
    <row r="33" ht="33.75" customHeight="1">
      <c r="A33" s="26" t="s">
        <v>309</v>
      </c>
      <c r="B33" s="26"/>
      <c r="C33" s="26"/>
      <c r="D33" s="26"/>
      <c r="E33" s="26"/>
      <c r="F33" s="26"/>
      <c r="G33" s="2"/>
      <c r="H33" s="2"/>
      <c r="I33" s="2"/>
      <c r="J33" s="2"/>
      <c r="K33" s="2"/>
      <c r="L33" s="2"/>
      <c r="M33" s="2"/>
      <c r="N33" s="2"/>
      <c r="O33" s="2"/>
      <c r="P33" s="2"/>
      <c r="Q33" s="2"/>
      <c r="R33" s="2"/>
      <c r="S33" s="2"/>
      <c r="T33" s="2"/>
      <c r="U33" s="2"/>
      <c r="V33" s="2"/>
      <c r="W33" s="2"/>
      <c r="X33" s="2"/>
      <c r="Y33" s="2"/>
      <c r="Z33" s="2"/>
    </row>
    <row r="34" ht="33.75" customHeight="1">
      <c r="A34" s="27" t="s">
        <v>310</v>
      </c>
      <c r="B34" s="27"/>
      <c r="C34" s="27"/>
      <c r="D34" s="27"/>
      <c r="E34" s="27"/>
      <c r="F34" s="27"/>
      <c r="G34" s="2"/>
      <c r="H34" s="2"/>
      <c r="I34" s="2"/>
      <c r="J34" s="2"/>
      <c r="K34" s="2"/>
      <c r="L34" s="2"/>
      <c r="M34" s="2"/>
      <c r="N34" s="2"/>
      <c r="O34" s="2"/>
      <c r="P34" s="2"/>
      <c r="Q34" s="2"/>
      <c r="R34" s="2"/>
      <c r="S34" s="2"/>
      <c r="T34" s="2"/>
      <c r="U34" s="2"/>
      <c r="V34" s="2"/>
      <c r="W34" s="2"/>
      <c r="X34" s="2"/>
      <c r="Y34" s="2"/>
      <c r="Z34" s="2"/>
    </row>
    <row r="35" ht="33.75" customHeight="1">
      <c r="A35" s="26" t="s">
        <v>311</v>
      </c>
      <c r="B35" s="26"/>
      <c r="C35" s="26"/>
      <c r="D35" s="26"/>
      <c r="E35" s="26"/>
      <c r="F35" s="26"/>
      <c r="G35" s="2"/>
      <c r="H35" s="2"/>
      <c r="I35" s="2"/>
      <c r="J35" s="2"/>
      <c r="K35" s="2"/>
      <c r="L35" s="2"/>
      <c r="M35" s="2"/>
      <c r="N35" s="2"/>
      <c r="O35" s="2"/>
      <c r="P35" s="2"/>
      <c r="Q35" s="2"/>
      <c r="R35" s="2"/>
      <c r="S35" s="2"/>
      <c r="T35" s="2"/>
      <c r="U35" s="2"/>
      <c r="V35" s="2"/>
      <c r="W35" s="2"/>
      <c r="X35" s="2"/>
      <c r="Y35" s="2"/>
      <c r="Z35" s="2"/>
    </row>
    <row r="36" ht="33.75" customHeight="1">
      <c r="A36" s="27" t="s">
        <v>312</v>
      </c>
      <c r="B36" s="27"/>
      <c r="C36" s="27"/>
      <c r="D36" s="27"/>
      <c r="E36" s="27"/>
      <c r="F36" s="27"/>
      <c r="G36" s="2"/>
      <c r="H36" s="2"/>
      <c r="I36" s="2"/>
      <c r="J36" s="2"/>
      <c r="K36" s="2"/>
      <c r="L36" s="2"/>
      <c r="M36" s="2"/>
      <c r="N36" s="2"/>
      <c r="O36" s="2"/>
      <c r="P36" s="2"/>
      <c r="Q36" s="2"/>
      <c r="R36" s="2"/>
      <c r="S36" s="2"/>
      <c r="T36" s="2"/>
      <c r="U36" s="2"/>
      <c r="V36" s="2"/>
      <c r="W36" s="2"/>
      <c r="X36" s="2"/>
      <c r="Y36" s="2"/>
      <c r="Z36" s="2"/>
    </row>
    <row r="37" ht="33.75" customHeight="1">
      <c r="A37" s="26" t="s">
        <v>313</v>
      </c>
      <c r="B37" s="26"/>
      <c r="C37" s="26"/>
      <c r="D37" s="26"/>
      <c r="E37" s="26"/>
      <c r="F37" s="26"/>
      <c r="G37" s="2"/>
      <c r="H37" s="2"/>
      <c r="I37" s="2"/>
      <c r="J37" s="2"/>
      <c r="K37" s="2"/>
      <c r="L37" s="2"/>
      <c r="M37" s="2"/>
      <c r="N37" s="2"/>
      <c r="O37" s="2"/>
      <c r="P37" s="2"/>
      <c r="Q37" s="2"/>
      <c r="R37" s="2"/>
      <c r="S37" s="2"/>
      <c r="T37" s="2"/>
      <c r="U37" s="2"/>
      <c r="V37" s="2"/>
      <c r="W37" s="2"/>
      <c r="X37" s="2"/>
      <c r="Y37" s="2"/>
      <c r="Z37" s="2"/>
    </row>
    <row r="38" ht="33.75" customHeight="1">
      <c r="A38" s="27" t="s">
        <v>314</v>
      </c>
      <c r="B38" s="27"/>
      <c r="C38" s="27"/>
      <c r="D38" s="27"/>
      <c r="E38" s="27"/>
      <c r="F38" s="27"/>
      <c r="G38" s="2"/>
      <c r="H38" s="2"/>
      <c r="I38" s="2"/>
      <c r="J38" s="2"/>
      <c r="K38" s="2"/>
      <c r="L38" s="2"/>
      <c r="M38" s="2"/>
      <c r="N38" s="2"/>
      <c r="O38" s="2"/>
      <c r="P38" s="2"/>
      <c r="Q38" s="2"/>
      <c r="R38" s="2"/>
      <c r="S38" s="2"/>
      <c r="T38" s="2"/>
      <c r="U38" s="2"/>
      <c r="V38" s="2"/>
      <c r="W38" s="2"/>
      <c r="X38" s="2"/>
      <c r="Y38" s="2"/>
      <c r="Z38" s="2"/>
    </row>
    <row r="39" ht="33.75" customHeight="1">
      <c r="A39" s="26" t="s">
        <v>315</v>
      </c>
      <c r="B39" s="26"/>
      <c r="C39" s="26"/>
      <c r="D39" s="26"/>
      <c r="E39" s="26"/>
      <c r="F39" s="26"/>
      <c r="G39" s="2"/>
      <c r="H39" s="2"/>
      <c r="I39" s="2"/>
      <c r="J39" s="2"/>
      <c r="K39" s="2"/>
      <c r="L39" s="2"/>
      <c r="M39" s="2"/>
      <c r="N39" s="2"/>
      <c r="O39" s="2"/>
      <c r="P39" s="2"/>
      <c r="Q39" s="2"/>
      <c r="R39" s="2"/>
      <c r="S39" s="2"/>
      <c r="T39" s="2"/>
      <c r="U39" s="2"/>
      <c r="V39" s="2"/>
      <c r="W39" s="2"/>
      <c r="X39" s="2"/>
      <c r="Y39" s="2"/>
      <c r="Z39" s="2"/>
    </row>
    <row r="40" ht="33.75" customHeight="1">
      <c r="A40" s="27" t="s">
        <v>316</v>
      </c>
      <c r="B40" s="27"/>
      <c r="C40" s="27"/>
      <c r="D40" s="27"/>
      <c r="E40" s="27"/>
      <c r="F40" s="27"/>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mergeCells count="2">
    <mergeCell ref="A1:G1"/>
    <mergeCell ref="A2:G2"/>
  </mergeCells>
  <dataValidations>
    <dataValidation type="list" allowBlank="1" showInputMessage="1" showErrorMessage="1" prompt="Valor no admitido - Estados admitidos: Validada, Pendiente o En disputa." sqref="E5:E40">
      <formula1>"Validada,Pendiente,En disputa"</formula1>
    </dataValidation>
    <dataValidation type="list" allowBlank="1" showInputMessage="1" showErrorMessage="1" prompt="Valor no admitido - Tipos admitidos: Restricción, Derivación o Existencia." sqref="B5:B40">
      <formula1>"Restricción,Derivación,Existencia"</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75.86"/>
    <col customWidth="1" min="3" max="3" width="87.14"/>
    <col customWidth="1" min="4" max="4" width="20.0"/>
    <col customWidth="1" min="5" max="5" width="37.71"/>
    <col customWidth="1" min="6" max="6" width="36.0"/>
    <col customWidth="1" min="7" max="26" width="8.71"/>
  </cols>
  <sheetData>
    <row r="1" ht="19.5" customHeight="1">
      <c r="A1" s="14" t="s">
        <v>317</v>
      </c>
    </row>
    <row r="2" ht="39.75" customHeight="1">
      <c r="A2" s="15" t="s">
        <v>318</v>
      </c>
    </row>
    <row r="3">
      <c r="A3" s="2"/>
      <c r="B3" s="2"/>
      <c r="C3" s="2"/>
      <c r="D3" s="2"/>
      <c r="E3" s="2"/>
      <c r="F3" s="2"/>
    </row>
    <row r="4" ht="30.0" customHeight="1">
      <c r="A4" s="16" t="s">
        <v>259</v>
      </c>
      <c r="B4" s="16" t="s">
        <v>319</v>
      </c>
      <c r="C4" s="16" t="s">
        <v>320</v>
      </c>
      <c r="D4" s="16" t="s">
        <v>321</v>
      </c>
      <c r="E4" s="16" t="s">
        <v>262</v>
      </c>
      <c r="F4" s="16" t="s">
        <v>261</v>
      </c>
    </row>
    <row r="5" ht="74.25" customHeight="1">
      <c r="A5" s="25" t="s">
        <v>322</v>
      </c>
      <c r="B5" s="17" t="s">
        <v>323</v>
      </c>
      <c r="C5" s="17" t="s">
        <v>324</v>
      </c>
      <c r="D5" s="17" t="s">
        <v>325</v>
      </c>
      <c r="E5" s="17" t="s">
        <v>326</v>
      </c>
      <c r="F5" s="17" t="s">
        <v>327</v>
      </c>
    </row>
    <row r="6" ht="74.25" customHeight="1">
      <c r="A6" s="19" t="s">
        <v>328</v>
      </c>
      <c r="B6" s="19" t="s">
        <v>329</v>
      </c>
      <c r="C6" s="19" t="s">
        <v>330</v>
      </c>
      <c r="D6" s="19" t="s">
        <v>325</v>
      </c>
      <c r="E6" s="19" t="s">
        <v>331</v>
      </c>
      <c r="F6" s="19" t="s">
        <v>332</v>
      </c>
    </row>
    <row r="7" ht="74.25" customHeight="1">
      <c r="A7" s="25" t="s">
        <v>333</v>
      </c>
      <c r="B7" s="17" t="s">
        <v>334</v>
      </c>
      <c r="C7" s="17" t="s">
        <v>335</v>
      </c>
      <c r="D7" s="17" t="s">
        <v>325</v>
      </c>
      <c r="E7" s="17" t="s">
        <v>326</v>
      </c>
      <c r="F7" s="17" t="s">
        <v>336</v>
      </c>
    </row>
    <row r="8" ht="74.25" customHeight="1">
      <c r="A8" s="19" t="s">
        <v>337</v>
      </c>
      <c r="B8" s="19" t="s">
        <v>338</v>
      </c>
      <c r="C8" s="19" t="s">
        <v>339</v>
      </c>
      <c r="D8" s="19" t="s">
        <v>340</v>
      </c>
      <c r="E8" s="19" t="s">
        <v>341</v>
      </c>
      <c r="F8" s="19" t="s">
        <v>342</v>
      </c>
    </row>
    <row r="9" ht="74.25" customHeight="1">
      <c r="A9" s="25" t="s">
        <v>343</v>
      </c>
      <c r="B9" s="17" t="s">
        <v>344</v>
      </c>
      <c r="C9" s="17" t="s">
        <v>345</v>
      </c>
      <c r="D9" s="17" t="s">
        <v>325</v>
      </c>
      <c r="E9" s="17" t="s">
        <v>326</v>
      </c>
      <c r="F9" s="17" t="s">
        <v>346</v>
      </c>
    </row>
    <row r="10" ht="74.25" customHeight="1">
      <c r="A10" s="19" t="s">
        <v>347</v>
      </c>
      <c r="B10" s="19" t="s">
        <v>348</v>
      </c>
      <c r="C10" s="19" t="s">
        <v>349</v>
      </c>
      <c r="D10" s="19" t="s">
        <v>325</v>
      </c>
      <c r="E10" s="19" t="s">
        <v>331</v>
      </c>
      <c r="F10" s="19" t="s">
        <v>187</v>
      </c>
    </row>
    <row r="11">
      <c r="A11" s="2"/>
      <c r="B11" s="2"/>
      <c r="C11" s="2"/>
      <c r="D11" s="2"/>
      <c r="E11" s="2"/>
      <c r="F11" s="2"/>
    </row>
    <row r="12">
      <c r="A12" s="2"/>
      <c r="B12" s="2"/>
      <c r="C12" s="2"/>
      <c r="D12" s="2"/>
      <c r="E12" s="2"/>
      <c r="F12" s="2"/>
    </row>
    <row r="13">
      <c r="A13" s="2"/>
      <c r="B13" s="2"/>
      <c r="C13" s="2"/>
      <c r="D13" s="2"/>
      <c r="E13" s="2"/>
      <c r="F13" s="2"/>
    </row>
    <row r="14">
      <c r="A14" s="2"/>
      <c r="B14" s="2"/>
      <c r="C14" s="2"/>
      <c r="D14" s="2"/>
      <c r="E14" s="2"/>
      <c r="F14" s="2"/>
    </row>
    <row r="15">
      <c r="A15" s="2"/>
      <c r="B15" s="2"/>
      <c r="C15" s="2"/>
      <c r="D15" s="2"/>
      <c r="E15" s="2"/>
      <c r="F15" s="2"/>
    </row>
    <row r="16">
      <c r="A16" s="2"/>
      <c r="B16" s="2"/>
      <c r="C16" s="2"/>
      <c r="D16" s="2"/>
      <c r="E16" s="2"/>
      <c r="F16" s="2"/>
    </row>
    <row r="17">
      <c r="A17" s="2"/>
      <c r="B17" s="2"/>
      <c r="C17" s="2"/>
      <c r="D17" s="2"/>
      <c r="E17" s="2"/>
      <c r="F17" s="2"/>
    </row>
    <row r="18">
      <c r="A18" s="2"/>
      <c r="B18" s="2"/>
      <c r="C18" s="2"/>
      <c r="D18" s="2"/>
      <c r="E18" s="2"/>
      <c r="F18" s="2"/>
    </row>
    <row r="19">
      <c r="A19" s="2"/>
      <c r="B19" s="2"/>
      <c r="C19" s="2"/>
      <c r="D19" s="2"/>
      <c r="E19" s="2"/>
      <c r="F19" s="2"/>
    </row>
    <row r="20">
      <c r="A20" s="2"/>
      <c r="B20" s="2"/>
      <c r="C20" s="2"/>
      <c r="D20" s="2"/>
      <c r="E20" s="2"/>
      <c r="F20" s="2"/>
    </row>
    <row r="21" ht="15.75" customHeight="1">
      <c r="A21" s="2"/>
      <c r="B21" s="2"/>
      <c r="C21" s="2"/>
      <c r="D21" s="2"/>
      <c r="E21" s="2"/>
      <c r="F21" s="2"/>
    </row>
    <row r="22" ht="15.75" customHeight="1">
      <c r="A22" s="2"/>
      <c r="B22" s="2"/>
      <c r="C22" s="2"/>
      <c r="D22" s="2"/>
      <c r="E22" s="2"/>
      <c r="F22" s="2"/>
    </row>
    <row r="23" ht="15.75" customHeight="1">
      <c r="A23" s="2"/>
      <c r="B23" s="2"/>
      <c r="C23" s="2"/>
      <c r="D23" s="2"/>
      <c r="E23" s="2"/>
      <c r="F23" s="2"/>
    </row>
    <row r="24" ht="15.75" customHeight="1">
      <c r="A24" s="2"/>
      <c r="B24" s="2"/>
      <c r="C24" s="2"/>
      <c r="D24" s="2"/>
      <c r="E24" s="2"/>
      <c r="F24" s="2"/>
    </row>
    <row r="25" ht="15.75" customHeight="1">
      <c r="A25" s="2"/>
      <c r="B25" s="2"/>
      <c r="C25" s="2"/>
      <c r="D25" s="2"/>
      <c r="E25" s="2"/>
      <c r="F25" s="2"/>
    </row>
    <row r="26" ht="15.75" customHeight="1">
      <c r="A26" s="2"/>
      <c r="B26" s="2"/>
      <c r="C26" s="2"/>
      <c r="D26" s="2"/>
      <c r="E26" s="2"/>
      <c r="F26" s="2"/>
    </row>
    <row r="27" ht="15.75" customHeight="1">
      <c r="A27" s="2"/>
      <c r="B27" s="2"/>
      <c r="C27" s="2"/>
      <c r="D27" s="2"/>
      <c r="E27" s="2"/>
      <c r="F27" s="2"/>
    </row>
    <row r="28" ht="15.75" customHeight="1">
      <c r="A28" s="2"/>
      <c r="B28" s="2"/>
      <c r="C28" s="2"/>
      <c r="D28" s="2"/>
      <c r="E28" s="2"/>
      <c r="F28" s="2"/>
    </row>
    <row r="29" ht="15.75" customHeight="1">
      <c r="A29" s="2"/>
      <c r="B29" s="2"/>
      <c r="C29" s="2"/>
      <c r="D29" s="2"/>
      <c r="E29" s="2"/>
      <c r="F29" s="2"/>
    </row>
    <row r="30" ht="15.75" customHeight="1">
      <c r="A30" s="2"/>
      <c r="B30" s="2"/>
      <c r="C30" s="2"/>
      <c r="D30" s="2"/>
      <c r="E30" s="2"/>
      <c r="F30" s="2"/>
    </row>
    <row r="31" ht="15.75" customHeight="1">
      <c r="A31" s="2"/>
      <c r="B31" s="2"/>
      <c r="C31" s="2"/>
      <c r="D31" s="2"/>
      <c r="E31" s="2"/>
      <c r="F31" s="2"/>
    </row>
    <row r="32" ht="15.75" customHeight="1">
      <c r="A32" s="2"/>
      <c r="B32" s="2"/>
      <c r="C32" s="2"/>
      <c r="D32" s="2"/>
      <c r="E32" s="2"/>
      <c r="F32" s="2"/>
    </row>
    <row r="33" ht="15.75" customHeight="1">
      <c r="A33" s="2"/>
      <c r="B33" s="2"/>
      <c r="C33" s="2"/>
      <c r="D33" s="2"/>
      <c r="E33" s="2"/>
      <c r="F33" s="2"/>
    </row>
    <row r="34" ht="15.75" customHeight="1">
      <c r="A34" s="2"/>
      <c r="B34" s="2"/>
      <c r="C34" s="2"/>
      <c r="D34" s="2"/>
      <c r="E34" s="2"/>
      <c r="F34" s="2"/>
    </row>
    <row r="35" ht="15.75" customHeight="1">
      <c r="A35" s="2"/>
      <c r="B35" s="2"/>
      <c r="C35" s="2"/>
      <c r="D35" s="2"/>
      <c r="E35" s="2"/>
      <c r="F35" s="2"/>
    </row>
    <row r="36" ht="15.75" customHeight="1">
      <c r="A36" s="2"/>
      <c r="B36" s="2"/>
      <c r="C36" s="2"/>
      <c r="D36" s="2"/>
      <c r="E36" s="2"/>
      <c r="F36" s="2"/>
    </row>
    <row r="37" ht="15.75" customHeight="1">
      <c r="A37" s="2"/>
      <c r="B37" s="2"/>
      <c r="C37" s="2"/>
      <c r="D37" s="2"/>
      <c r="E37" s="2"/>
      <c r="F37" s="2"/>
    </row>
    <row r="38" ht="15.75" customHeight="1">
      <c r="A38" s="2"/>
      <c r="B38" s="2"/>
      <c r="C38" s="2"/>
      <c r="D38" s="2"/>
      <c r="E38" s="2"/>
      <c r="F38" s="2"/>
    </row>
    <row r="39" ht="15.75" customHeight="1">
      <c r="A39" s="2"/>
      <c r="B39" s="2"/>
      <c r="C39" s="2"/>
      <c r="D39" s="2"/>
      <c r="E39" s="2"/>
      <c r="F39" s="2"/>
    </row>
    <row r="40" ht="15.75" customHeight="1">
      <c r="A40" s="2"/>
      <c r="B40" s="2"/>
      <c r="C40" s="2"/>
      <c r="D40" s="2"/>
      <c r="E40" s="2"/>
      <c r="F40" s="2"/>
    </row>
    <row r="41" ht="15.75" customHeight="1">
      <c r="A41" s="2"/>
      <c r="B41" s="2"/>
      <c r="C41" s="2"/>
      <c r="D41" s="2"/>
      <c r="E41" s="2"/>
      <c r="F41" s="2"/>
    </row>
    <row r="42" ht="15.75" customHeight="1">
      <c r="A42" s="2"/>
      <c r="B42" s="2"/>
      <c r="C42" s="2"/>
      <c r="D42" s="2"/>
      <c r="E42" s="2"/>
      <c r="F42" s="2"/>
    </row>
    <row r="43" ht="15.75" customHeight="1">
      <c r="A43" s="2"/>
      <c r="B43" s="2"/>
      <c r="C43" s="2"/>
      <c r="D43" s="2"/>
      <c r="E43" s="2"/>
      <c r="F43" s="2"/>
    </row>
    <row r="44" ht="15.75" customHeight="1">
      <c r="A44" s="2"/>
      <c r="B44" s="2"/>
      <c r="C44" s="2"/>
      <c r="D44" s="2"/>
      <c r="E44" s="2"/>
      <c r="F44" s="2"/>
    </row>
    <row r="45" ht="15.75" customHeight="1">
      <c r="A45" s="2"/>
      <c r="B45" s="2"/>
      <c r="C45" s="2"/>
      <c r="D45" s="2"/>
      <c r="E45" s="2"/>
      <c r="F45" s="2"/>
    </row>
    <row r="46" ht="15.75" customHeight="1">
      <c r="A46" s="2"/>
      <c r="B46" s="2"/>
      <c r="C46" s="2"/>
      <c r="D46" s="2"/>
      <c r="E46" s="2"/>
      <c r="F46" s="2"/>
    </row>
    <row r="47" ht="15.75" customHeight="1">
      <c r="A47" s="2"/>
      <c r="B47" s="2"/>
      <c r="C47" s="2"/>
      <c r="D47" s="2"/>
      <c r="E47" s="2"/>
      <c r="F47" s="2"/>
    </row>
    <row r="48" ht="15.75" customHeight="1">
      <c r="A48" s="2"/>
      <c r="B48" s="2"/>
      <c r="C48" s="2"/>
      <c r="D48" s="2"/>
      <c r="E48" s="2"/>
      <c r="F48" s="2"/>
    </row>
    <row r="49" ht="15.75" customHeight="1">
      <c r="A49" s="2"/>
      <c r="B49" s="2"/>
      <c r="C49" s="2"/>
      <c r="D49" s="2"/>
      <c r="E49" s="2"/>
      <c r="F49" s="2"/>
    </row>
    <row r="50" ht="15.75" customHeight="1">
      <c r="A50" s="2"/>
      <c r="B50" s="2"/>
      <c r="C50" s="2"/>
      <c r="D50" s="2"/>
      <c r="E50" s="2"/>
      <c r="F50" s="2"/>
    </row>
    <row r="51" ht="15.75" customHeight="1">
      <c r="A51" s="2"/>
      <c r="B51" s="2"/>
      <c r="C51" s="2"/>
      <c r="D51" s="2"/>
      <c r="E51" s="2"/>
      <c r="F51" s="2"/>
    </row>
    <row r="52" ht="15.75" customHeight="1">
      <c r="A52" s="2"/>
      <c r="B52" s="2"/>
      <c r="C52" s="2"/>
      <c r="D52" s="2"/>
      <c r="E52" s="2"/>
      <c r="F52" s="2"/>
    </row>
    <row r="53" ht="15.75" customHeight="1">
      <c r="A53" s="2"/>
      <c r="B53" s="2"/>
      <c r="C53" s="2"/>
      <c r="D53" s="2"/>
      <c r="E53" s="2"/>
      <c r="F53" s="2"/>
    </row>
    <row r="54" ht="15.75" customHeight="1">
      <c r="A54" s="2"/>
      <c r="B54" s="2"/>
      <c r="C54" s="2"/>
      <c r="D54" s="2"/>
      <c r="E54" s="2"/>
      <c r="F54" s="2"/>
    </row>
    <row r="55" ht="15.75" customHeight="1">
      <c r="A55" s="2"/>
      <c r="B55" s="2"/>
      <c r="C55" s="2"/>
      <c r="D55" s="2"/>
      <c r="E55" s="2"/>
      <c r="F55" s="2"/>
    </row>
    <row r="56" ht="15.75" customHeight="1">
      <c r="A56" s="2"/>
      <c r="B56" s="2"/>
      <c r="C56" s="2"/>
      <c r="D56" s="2"/>
      <c r="E56" s="2"/>
      <c r="F56" s="2"/>
    </row>
    <row r="57" ht="15.75" customHeight="1">
      <c r="A57" s="2"/>
      <c r="B57" s="2"/>
      <c r="C57" s="2"/>
      <c r="D57" s="2"/>
      <c r="E57" s="2"/>
      <c r="F57" s="2"/>
    </row>
    <row r="58" ht="15.75" customHeight="1">
      <c r="A58" s="2"/>
      <c r="B58" s="2"/>
      <c r="C58" s="2"/>
      <c r="D58" s="2"/>
      <c r="E58" s="2"/>
      <c r="F58" s="2"/>
    </row>
    <row r="59" ht="15.75" customHeight="1">
      <c r="A59" s="2"/>
      <c r="B59" s="2"/>
      <c r="C59" s="2"/>
      <c r="D59" s="2"/>
      <c r="E59" s="2"/>
      <c r="F59" s="2"/>
    </row>
    <row r="60" ht="15.75" customHeight="1">
      <c r="A60" s="2"/>
      <c r="B60" s="2"/>
      <c r="C60" s="2"/>
      <c r="D60" s="2"/>
      <c r="E60" s="2"/>
      <c r="F60" s="2"/>
    </row>
    <row r="61" ht="15.75" customHeight="1">
      <c r="A61" s="2"/>
      <c r="B61" s="2"/>
      <c r="C61" s="2"/>
      <c r="D61" s="2"/>
      <c r="E61" s="2"/>
      <c r="F61" s="2"/>
    </row>
    <row r="62" ht="15.75" customHeight="1">
      <c r="A62" s="2"/>
      <c r="B62" s="2"/>
      <c r="C62" s="2"/>
      <c r="D62" s="2"/>
      <c r="E62" s="2"/>
      <c r="F62" s="2"/>
    </row>
    <row r="63" ht="15.75" customHeight="1">
      <c r="A63" s="2"/>
      <c r="B63" s="2"/>
      <c r="C63" s="2"/>
      <c r="D63" s="2"/>
      <c r="E63" s="2"/>
      <c r="F63" s="2"/>
    </row>
    <row r="64" ht="15.75" customHeight="1">
      <c r="A64" s="2"/>
      <c r="B64" s="2"/>
      <c r="C64" s="2"/>
      <c r="D64" s="2"/>
      <c r="E64" s="2"/>
      <c r="F64" s="2"/>
    </row>
    <row r="65" ht="15.75" customHeight="1">
      <c r="A65" s="2"/>
      <c r="B65" s="2"/>
      <c r="C65" s="2"/>
      <c r="D65" s="2"/>
      <c r="E65" s="2"/>
      <c r="F65" s="2"/>
    </row>
    <row r="66" ht="15.75" customHeight="1">
      <c r="A66" s="2"/>
      <c r="B66" s="2"/>
      <c r="C66" s="2"/>
      <c r="D66" s="2"/>
      <c r="E66" s="2"/>
      <c r="F66" s="2"/>
    </row>
    <row r="67" ht="15.75" customHeight="1">
      <c r="A67" s="2"/>
      <c r="B67" s="2"/>
      <c r="C67" s="2"/>
      <c r="D67" s="2"/>
      <c r="E67" s="2"/>
      <c r="F67" s="2"/>
    </row>
    <row r="68" ht="15.75" customHeight="1">
      <c r="A68" s="2"/>
      <c r="B68" s="2"/>
      <c r="C68" s="2"/>
      <c r="D68" s="2"/>
      <c r="E68" s="2"/>
      <c r="F68" s="2"/>
    </row>
    <row r="69" ht="15.75" customHeight="1">
      <c r="A69" s="2"/>
      <c r="B69" s="2"/>
      <c r="C69" s="2"/>
      <c r="D69" s="2"/>
      <c r="E69" s="2"/>
      <c r="F69" s="2"/>
    </row>
    <row r="70" ht="15.75" customHeight="1">
      <c r="A70" s="2"/>
      <c r="B70" s="2"/>
      <c r="C70" s="2"/>
      <c r="D70" s="2"/>
      <c r="E70" s="2"/>
      <c r="F70" s="2"/>
    </row>
    <row r="71" ht="15.75" customHeight="1">
      <c r="A71" s="2"/>
      <c r="B71" s="2"/>
      <c r="C71" s="2"/>
      <c r="D71" s="2"/>
      <c r="E71" s="2"/>
      <c r="F71" s="2"/>
    </row>
    <row r="72" ht="15.75" customHeight="1">
      <c r="A72" s="2"/>
      <c r="B72" s="2"/>
      <c r="C72" s="2"/>
      <c r="D72" s="2"/>
      <c r="E72" s="2"/>
      <c r="F72" s="2"/>
    </row>
    <row r="73" ht="15.75" customHeight="1">
      <c r="A73" s="2"/>
      <c r="B73" s="2"/>
      <c r="C73" s="2"/>
      <c r="D73" s="2"/>
      <c r="E73" s="2"/>
      <c r="F73" s="2"/>
    </row>
    <row r="74" ht="15.75" customHeight="1">
      <c r="A74" s="2"/>
      <c r="B74" s="2"/>
      <c r="C74" s="2"/>
      <c r="D74" s="2"/>
      <c r="E74" s="2"/>
      <c r="F74" s="2"/>
    </row>
    <row r="75" ht="15.75" customHeight="1">
      <c r="A75" s="2"/>
      <c r="B75" s="2"/>
      <c r="C75" s="2"/>
      <c r="D75" s="2"/>
      <c r="E75" s="2"/>
      <c r="F75" s="2"/>
    </row>
    <row r="76" ht="15.75" customHeight="1">
      <c r="A76" s="2"/>
      <c r="B76" s="2"/>
      <c r="C76" s="2"/>
      <c r="D76" s="2"/>
      <c r="E76" s="2"/>
      <c r="F76" s="2"/>
    </row>
    <row r="77" ht="15.75" customHeight="1">
      <c r="A77" s="2"/>
      <c r="B77" s="2"/>
      <c r="C77" s="2"/>
      <c r="D77" s="2"/>
      <c r="E77" s="2"/>
      <c r="F77" s="2"/>
    </row>
    <row r="78" ht="15.75" customHeight="1">
      <c r="A78" s="2"/>
      <c r="B78" s="2"/>
      <c r="C78" s="2"/>
      <c r="D78" s="2"/>
      <c r="E78" s="2"/>
      <c r="F78" s="2"/>
    </row>
    <row r="79" ht="15.75" customHeight="1">
      <c r="A79" s="2"/>
      <c r="B79" s="2"/>
      <c r="C79" s="2"/>
      <c r="D79" s="2"/>
      <c r="E79" s="2"/>
      <c r="F79" s="2"/>
    </row>
    <row r="80" ht="15.75" customHeight="1">
      <c r="A80" s="2"/>
      <c r="B80" s="2"/>
      <c r="C80" s="2"/>
      <c r="D80" s="2"/>
      <c r="E80" s="2"/>
      <c r="F80" s="2"/>
    </row>
    <row r="81" ht="15.75" customHeight="1">
      <c r="A81" s="2"/>
      <c r="B81" s="2"/>
      <c r="C81" s="2"/>
      <c r="D81" s="2"/>
      <c r="E81" s="2"/>
      <c r="F81" s="2"/>
    </row>
    <row r="82" ht="15.75" customHeight="1">
      <c r="A82" s="2"/>
      <c r="B82" s="2"/>
      <c r="C82" s="2"/>
      <c r="D82" s="2"/>
      <c r="E82" s="2"/>
      <c r="F82" s="2"/>
    </row>
    <row r="83" ht="15.75" customHeight="1">
      <c r="A83" s="2"/>
      <c r="B83" s="2"/>
      <c r="C83" s="2"/>
      <c r="D83" s="2"/>
      <c r="E83" s="2"/>
      <c r="F83" s="2"/>
    </row>
    <row r="84" ht="15.75" customHeight="1">
      <c r="A84" s="2"/>
      <c r="B84" s="2"/>
      <c r="C84" s="2"/>
      <c r="D84" s="2"/>
      <c r="E84" s="2"/>
      <c r="F84" s="2"/>
    </row>
    <row r="85" ht="15.75" customHeight="1">
      <c r="A85" s="2"/>
      <c r="B85" s="2"/>
      <c r="C85" s="2"/>
      <c r="D85" s="2"/>
      <c r="E85" s="2"/>
      <c r="F85" s="2"/>
    </row>
    <row r="86" ht="15.75" customHeight="1">
      <c r="A86" s="2"/>
      <c r="B86" s="2"/>
      <c r="C86" s="2"/>
      <c r="D86" s="2"/>
      <c r="E86" s="2"/>
      <c r="F86" s="2"/>
    </row>
    <row r="87" ht="15.75" customHeight="1">
      <c r="A87" s="2"/>
      <c r="B87" s="2"/>
      <c r="C87" s="2"/>
      <c r="D87" s="2"/>
      <c r="E87" s="2"/>
      <c r="F87" s="2"/>
    </row>
    <row r="88" ht="15.75" customHeight="1">
      <c r="A88" s="2"/>
      <c r="B88" s="2"/>
      <c r="C88" s="2"/>
      <c r="D88" s="2"/>
      <c r="E88" s="2"/>
      <c r="F88" s="2"/>
    </row>
    <row r="89" ht="15.75" customHeight="1">
      <c r="A89" s="2"/>
      <c r="B89" s="2"/>
      <c r="C89" s="2"/>
      <c r="D89" s="2"/>
      <c r="E89" s="2"/>
      <c r="F89" s="2"/>
    </row>
    <row r="90" ht="15.75" customHeight="1">
      <c r="A90" s="2"/>
      <c r="B90" s="2"/>
      <c r="C90" s="2"/>
      <c r="D90" s="2"/>
      <c r="E90" s="2"/>
      <c r="F90" s="2"/>
    </row>
    <row r="91" ht="15.75" customHeight="1">
      <c r="A91" s="2"/>
      <c r="B91" s="2"/>
      <c r="C91" s="2"/>
      <c r="D91" s="2"/>
      <c r="E91" s="2"/>
      <c r="F91" s="2"/>
    </row>
    <row r="92" ht="15.75" customHeight="1">
      <c r="A92" s="2"/>
      <c r="B92" s="2"/>
      <c r="C92" s="2"/>
      <c r="D92" s="2"/>
      <c r="E92" s="2"/>
      <c r="F92" s="2"/>
    </row>
    <row r="93" ht="15.75" customHeight="1">
      <c r="A93" s="2"/>
      <c r="B93" s="2"/>
      <c r="C93" s="2"/>
      <c r="D93" s="2"/>
      <c r="E93" s="2"/>
      <c r="F93" s="2"/>
    </row>
    <row r="94" ht="15.75" customHeight="1">
      <c r="A94" s="2"/>
      <c r="B94" s="2"/>
      <c r="C94" s="2"/>
      <c r="D94" s="2"/>
      <c r="E94" s="2"/>
      <c r="F94" s="2"/>
    </row>
    <row r="95" ht="15.75" customHeight="1">
      <c r="A95" s="2"/>
      <c r="B95" s="2"/>
      <c r="C95" s="2"/>
      <c r="D95" s="2"/>
      <c r="E95" s="2"/>
      <c r="F95" s="2"/>
    </row>
    <row r="96" ht="15.75" customHeight="1">
      <c r="A96" s="2"/>
      <c r="B96" s="2"/>
      <c r="C96" s="2"/>
      <c r="D96" s="2"/>
      <c r="E96" s="2"/>
      <c r="F96" s="2"/>
    </row>
    <row r="97" ht="15.75" customHeight="1">
      <c r="A97" s="2"/>
      <c r="B97" s="2"/>
      <c r="C97" s="2"/>
      <c r="D97" s="2"/>
      <c r="E97" s="2"/>
      <c r="F97" s="2"/>
    </row>
    <row r="98" ht="15.75" customHeight="1">
      <c r="A98" s="2"/>
      <c r="B98" s="2"/>
      <c r="C98" s="2"/>
      <c r="D98" s="2"/>
      <c r="E98" s="2"/>
      <c r="F98" s="2"/>
    </row>
    <row r="99" ht="15.75" customHeight="1">
      <c r="A99" s="2"/>
      <c r="B99" s="2"/>
      <c r="C99" s="2"/>
      <c r="D99" s="2"/>
      <c r="E99" s="2"/>
      <c r="F99" s="2"/>
    </row>
    <row r="100" ht="15.75" customHeight="1">
      <c r="A100" s="2"/>
      <c r="B100" s="2"/>
      <c r="C100" s="2"/>
      <c r="D100" s="2"/>
      <c r="E100" s="2"/>
      <c r="F100" s="2"/>
    </row>
    <row r="101" ht="15.75" customHeight="1">
      <c r="A101" s="2"/>
      <c r="B101" s="2"/>
      <c r="C101" s="2"/>
      <c r="D101" s="2"/>
      <c r="E101" s="2"/>
      <c r="F101" s="2"/>
    </row>
    <row r="102" ht="15.75" customHeight="1">
      <c r="A102" s="2"/>
      <c r="B102" s="2"/>
      <c r="C102" s="2"/>
      <c r="D102" s="2"/>
      <c r="E102" s="2"/>
      <c r="F102" s="2"/>
    </row>
    <row r="103" ht="15.75" customHeight="1">
      <c r="A103" s="2"/>
      <c r="B103" s="2"/>
      <c r="C103" s="2"/>
      <c r="D103" s="2"/>
      <c r="E103" s="2"/>
      <c r="F103" s="2"/>
    </row>
    <row r="104" ht="15.75" customHeight="1">
      <c r="A104" s="2"/>
      <c r="B104" s="2"/>
      <c r="C104" s="2"/>
      <c r="D104" s="2"/>
      <c r="E104" s="2"/>
      <c r="F104" s="2"/>
    </row>
    <row r="105" ht="15.75" customHeight="1">
      <c r="A105" s="2"/>
      <c r="B105" s="2"/>
      <c r="C105" s="2"/>
      <c r="D105" s="2"/>
      <c r="E105" s="2"/>
      <c r="F105" s="2"/>
    </row>
    <row r="106" ht="15.75" customHeight="1">
      <c r="A106" s="2"/>
      <c r="B106" s="2"/>
      <c r="C106" s="2"/>
      <c r="D106" s="2"/>
      <c r="E106" s="2"/>
      <c r="F106" s="2"/>
    </row>
    <row r="107" ht="15.75" customHeight="1">
      <c r="A107" s="2"/>
      <c r="B107" s="2"/>
      <c r="C107" s="2"/>
      <c r="D107" s="2"/>
      <c r="E107" s="2"/>
      <c r="F107" s="2"/>
    </row>
    <row r="108" ht="15.75" customHeight="1">
      <c r="A108" s="2"/>
      <c r="B108" s="2"/>
      <c r="C108" s="2"/>
      <c r="D108" s="2"/>
      <c r="E108" s="2"/>
      <c r="F108" s="2"/>
    </row>
    <row r="109" ht="15.75" customHeight="1">
      <c r="A109" s="2"/>
      <c r="B109" s="2"/>
      <c r="C109" s="2"/>
      <c r="D109" s="2"/>
      <c r="E109" s="2"/>
      <c r="F109" s="2"/>
    </row>
    <row r="110" ht="15.75" customHeight="1">
      <c r="A110" s="2"/>
      <c r="B110" s="2"/>
      <c r="C110" s="2"/>
      <c r="D110" s="2"/>
      <c r="E110" s="2"/>
      <c r="F110" s="2"/>
    </row>
    <row r="111" ht="15.75" customHeight="1">
      <c r="A111" s="2"/>
      <c r="B111" s="2"/>
      <c r="C111" s="2"/>
      <c r="D111" s="2"/>
      <c r="E111" s="2"/>
      <c r="F111" s="2"/>
    </row>
    <row r="112" ht="15.75" customHeight="1">
      <c r="A112" s="2"/>
      <c r="B112" s="2"/>
      <c r="C112" s="2"/>
      <c r="D112" s="2"/>
      <c r="E112" s="2"/>
      <c r="F112" s="2"/>
    </row>
    <row r="113" ht="15.75" customHeight="1">
      <c r="A113" s="2"/>
      <c r="B113" s="2"/>
      <c r="C113" s="2"/>
      <c r="D113" s="2"/>
      <c r="E113" s="2"/>
      <c r="F113" s="2"/>
    </row>
    <row r="114" ht="15.75" customHeight="1">
      <c r="A114" s="2"/>
      <c r="B114" s="2"/>
      <c r="C114" s="2"/>
      <c r="D114" s="2"/>
      <c r="E114" s="2"/>
      <c r="F114" s="2"/>
    </row>
    <row r="115" ht="15.75" customHeight="1">
      <c r="A115" s="2"/>
      <c r="B115" s="2"/>
      <c r="C115" s="2"/>
      <c r="D115" s="2"/>
      <c r="E115" s="2"/>
      <c r="F115" s="2"/>
    </row>
    <row r="116" ht="15.75" customHeight="1">
      <c r="A116" s="2"/>
      <c r="B116" s="2"/>
      <c r="C116" s="2"/>
      <c r="D116" s="2"/>
      <c r="E116" s="2"/>
      <c r="F116" s="2"/>
    </row>
    <row r="117" ht="15.75" customHeight="1">
      <c r="A117" s="2"/>
      <c r="B117" s="2"/>
      <c r="C117" s="2"/>
      <c r="D117" s="2"/>
      <c r="E117" s="2"/>
      <c r="F117" s="2"/>
    </row>
    <row r="118" ht="15.75" customHeight="1">
      <c r="A118" s="2"/>
      <c r="B118" s="2"/>
      <c r="C118" s="2"/>
      <c r="D118" s="2"/>
      <c r="E118" s="2"/>
      <c r="F118" s="2"/>
    </row>
    <row r="119" ht="15.75" customHeight="1">
      <c r="A119" s="2"/>
      <c r="B119" s="2"/>
      <c r="C119" s="2"/>
      <c r="D119" s="2"/>
      <c r="E119" s="2"/>
      <c r="F119" s="2"/>
    </row>
    <row r="120" ht="15.75" customHeight="1">
      <c r="A120" s="2"/>
      <c r="B120" s="2"/>
      <c r="C120" s="2"/>
      <c r="D120" s="2"/>
      <c r="E120" s="2"/>
      <c r="F120" s="2"/>
    </row>
    <row r="121" ht="15.75" customHeight="1">
      <c r="A121" s="2"/>
      <c r="B121" s="2"/>
      <c r="C121" s="2"/>
      <c r="D121" s="2"/>
      <c r="E121" s="2"/>
      <c r="F121" s="2"/>
    </row>
    <row r="122" ht="15.75" customHeight="1">
      <c r="A122" s="2"/>
      <c r="B122" s="2"/>
      <c r="C122" s="2"/>
      <c r="D122" s="2"/>
      <c r="E122" s="2"/>
      <c r="F122" s="2"/>
    </row>
    <row r="123" ht="15.75" customHeight="1">
      <c r="A123" s="2"/>
      <c r="B123" s="2"/>
      <c r="C123" s="2"/>
      <c r="D123" s="2"/>
      <c r="E123" s="2"/>
      <c r="F123" s="2"/>
    </row>
    <row r="124" ht="15.75" customHeight="1">
      <c r="A124" s="2"/>
      <c r="B124" s="2"/>
      <c r="C124" s="2"/>
      <c r="D124" s="2"/>
      <c r="E124" s="2"/>
      <c r="F124" s="2"/>
    </row>
    <row r="125" ht="15.75" customHeight="1">
      <c r="A125" s="2"/>
      <c r="B125" s="2"/>
      <c r="C125" s="2"/>
      <c r="D125" s="2"/>
      <c r="E125" s="2"/>
      <c r="F125" s="2"/>
    </row>
    <row r="126" ht="15.75" customHeight="1">
      <c r="A126" s="2"/>
      <c r="B126" s="2"/>
      <c r="C126" s="2"/>
      <c r="D126" s="2"/>
      <c r="E126" s="2"/>
      <c r="F126" s="2"/>
    </row>
    <row r="127" ht="15.75" customHeight="1">
      <c r="A127" s="2"/>
      <c r="B127" s="2"/>
      <c r="C127" s="2"/>
      <c r="D127" s="2"/>
      <c r="E127" s="2"/>
      <c r="F127" s="2"/>
    </row>
    <row r="128" ht="15.75" customHeight="1">
      <c r="A128" s="2"/>
      <c r="B128" s="2"/>
      <c r="C128" s="2"/>
      <c r="D128" s="2"/>
      <c r="E128" s="2"/>
      <c r="F128" s="2"/>
    </row>
    <row r="129" ht="15.75" customHeight="1">
      <c r="A129" s="2"/>
      <c r="B129" s="2"/>
      <c r="C129" s="2"/>
      <c r="D129" s="2"/>
      <c r="E129" s="2"/>
      <c r="F129" s="2"/>
    </row>
    <row r="130" ht="15.75" customHeight="1">
      <c r="A130" s="2"/>
      <c r="B130" s="2"/>
      <c r="C130" s="2"/>
      <c r="D130" s="2"/>
      <c r="E130" s="2"/>
      <c r="F130" s="2"/>
    </row>
    <row r="131" ht="15.75" customHeight="1">
      <c r="A131" s="2"/>
      <c r="B131" s="2"/>
      <c r="C131" s="2"/>
      <c r="D131" s="2"/>
      <c r="E131" s="2"/>
      <c r="F131" s="2"/>
    </row>
    <row r="132" ht="15.75" customHeight="1">
      <c r="A132" s="2"/>
      <c r="B132" s="2"/>
      <c r="C132" s="2"/>
      <c r="D132" s="2"/>
      <c r="E132" s="2"/>
      <c r="F132" s="2"/>
    </row>
    <row r="133" ht="15.75" customHeight="1">
      <c r="A133" s="2"/>
      <c r="B133" s="2"/>
      <c r="C133" s="2"/>
      <c r="D133" s="2"/>
      <c r="E133" s="2"/>
      <c r="F133" s="2"/>
    </row>
    <row r="134" ht="15.75" customHeight="1">
      <c r="A134" s="2"/>
      <c r="B134" s="2"/>
      <c r="C134" s="2"/>
      <c r="D134" s="2"/>
      <c r="E134" s="2"/>
      <c r="F134" s="2"/>
    </row>
    <row r="135" ht="15.75" customHeight="1">
      <c r="A135" s="2"/>
      <c r="B135" s="2"/>
      <c r="C135" s="2"/>
      <c r="D135" s="2"/>
      <c r="E135" s="2"/>
      <c r="F135" s="2"/>
    </row>
    <row r="136" ht="15.75" customHeight="1">
      <c r="A136" s="2"/>
      <c r="B136" s="2"/>
      <c r="C136" s="2"/>
      <c r="D136" s="2"/>
      <c r="E136" s="2"/>
      <c r="F136" s="2"/>
    </row>
    <row r="137" ht="15.75" customHeight="1">
      <c r="A137" s="2"/>
      <c r="B137" s="2"/>
      <c r="C137" s="2"/>
      <c r="D137" s="2"/>
      <c r="E137" s="2"/>
      <c r="F137" s="2"/>
    </row>
    <row r="138" ht="15.75" customHeight="1">
      <c r="A138" s="2"/>
      <c r="B138" s="2"/>
      <c r="C138" s="2"/>
      <c r="D138" s="2"/>
      <c r="E138" s="2"/>
      <c r="F138" s="2"/>
    </row>
    <row r="139" ht="15.75" customHeight="1">
      <c r="A139" s="2"/>
      <c r="B139" s="2"/>
      <c r="C139" s="2"/>
      <c r="D139" s="2"/>
      <c r="E139" s="2"/>
      <c r="F139" s="2"/>
    </row>
    <row r="140" ht="15.75" customHeight="1">
      <c r="A140" s="2"/>
      <c r="B140" s="2"/>
      <c r="C140" s="2"/>
      <c r="D140" s="2"/>
      <c r="E140" s="2"/>
      <c r="F140" s="2"/>
    </row>
    <row r="141" ht="15.75" customHeight="1">
      <c r="A141" s="2"/>
      <c r="B141" s="2"/>
      <c r="C141" s="2"/>
      <c r="D141" s="2"/>
      <c r="E141" s="2"/>
      <c r="F141" s="2"/>
    </row>
    <row r="142" ht="15.75" customHeight="1">
      <c r="A142" s="2"/>
      <c r="B142" s="2"/>
      <c r="C142" s="2"/>
      <c r="D142" s="2"/>
      <c r="E142" s="2"/>
      <c r="F142" s="2"/>
    </row>
    <row r="143" ht="15.75" customHeight="1">
      <c r="A143" s="2"/>
      <c r="B143" s="2"/>
      <c r="C143" s="2"/>
      <c r="D143" s="2"/>
      <c r="E143" s="2"/>
      <c r="F143" s="2"/>
    </row>
    <row r="144" ht="15.75" customHeight="1">
      <c r="A144" s="2"/>
      <c r="B144" s="2"/>
      <c r="C144" s="2"/>
      <c r="D144" s="2"/>
      <c r="E144" s="2"/>
      <c r="F144" s="2"/>
    </row>
    <row r="145" ht="15.75" customHeight="1">
      <c r="A145" s="2"/>
      <c r="B145" s="2"/>
      <c r="C145" s="2"/>
      <c r="D145" s="2"/>
      <c r="E145" s="2"/>
      <c r="F145" s="2"/>
    </row>
    <row r="146" ht="15.75" customHeight="1">
      <c r="A146" s="2"/>
      <c r="B146" s="2"/>
      <c r="C146" s="2"/>
      <c r="D146" s="2"/>
      <c r="E146" s="2"/>
      <c r="F146" s="2"/>
    </row>
    <row r="147" ht="15.75" customHeight="1">
      <c r="A147" s="2"/>
      <c r="B147" s="2"/>
      <c r="C147" s="2"/>
      <c r="D147" s="2"/>
      <c r="E147" s="2"/>
      <c r="F147" s="2"/>
    </row>
    <row r="148" ht="15.75" customHeight="1">
      <c r="A148" s="2"/>
      <c r="B148" s="2"/>
      <c r="C148" s="2"/>
      <c r="D148" s="2"/>
      <c r="E148" s="2"/>
      <c r="F148" s="2"/>
    </row>
    <row r="149" ht="15.75" customHeight="1">
      <c r="A149" s="2"/>
      <c r="B149" s="2"/>
      <c r="C149" s="2"/>
      <c r="D149" s="2"/>
      <c r="E149" s="2"/>
      <c r="F149" s="2"/>
    </row>
    <row r="150" ht="15.75" customHeight="1">
      <c r="A150" s="2"/>
      <c r="B150" s="2"/>
      <c r="C150" s="2"/>
      <c r="D150" s="2"/>
      <c r="E150" s="2"/>
      <c r="F150" s="2"/>
    </row>
    <row r="151" ht="15.75" customHeight="1">
      <c r="A151" s="2"/>
      <c r="B151" s="2"/>
      <c r="C151" s="2"/>
      <c r="D151" s="2"/>
      <c r="E151" s="2"/>
      <c r="F151" s="2"/>
    </row>
    <row r="152" ht="15.75" customHeight="1">
      <c r="A152" s="2"/>
      <c r="B152" s="2"/>
      <c r="C152" s="2"/>
      <c r="D152" s="2"/>
      <c r="E152" s="2"/>
      <c r="F152" s="2"/>
    </row>
    <row r="153" ht="15.75" customHeight="1">
      <c r="A153" s="2"/>
      <c r="B153" s="2"/>
      <c r="C153" s="2"/>
      <c r="D153" s="2"/>
      <c r="E153" s="2"/>
      <c r="F153" s="2"/>
    </row>
    <row r="154" ht="15.75" customHeight="1">
      <c r="A154" s="2"/>
      <c r="B154" s="2"/>
      <c r="C154" s="2"/>
      <c r="D154" s="2"/>
      <c r="E154" s="2"/>
      <c r="F154" s="2"/>
    </row>
    <row r="155" ht="15.75" customHeight="1">
      <c r="A155" s="2"/>
      <c r="B155" s="2"/>
      <c r="C155" s="2"/>
      <c r="D155" s="2"/>
      <c r="E155" s="2"/>
      <c r="F155" s="2"/>
    </row>
    <row r="156" ht="15.75" customHeight="1">
      <c r="A156" s="2"/>
      <c r="B156" s="2"/>
      <c r="C156" s="2"/>
      <c r="D156" s="2"/>
      <c r="E156" s="2"/>
      <c r="F156" s="2"/>
    </row>
    <row r="157" ht="15.75" customHeight="1">
      <c r="A157" s="2"/>
      <c r="B157" s="2"/>
      <c r="C157" s="2"/>
      <c r="D157" s="2"/>
      <c r="E157" s="2"/>
      <c r="F157" s="2"/>
    </row>
    <row r="158" ht="15.75" customHeight="1">
      <c r="A158" s="2"/>
      <c r="B158" s="2"/>
      <c r="C158" s="2"/>
      <c r="D158" s="2"/>
      <c r="E158" s="2"/>
      <c r="F158" s="2"/>
    </row>
    <row r="159" ht="15.75" customHeight="1">
      <c r="A159" s="2"/>
      <c r="B159" s="2"/>
      <c r="C159" s="2"/>
      <c r="D159" s="2"/>
      <c r="E159" s="2"/>
      <c r="F159" s="2"/>
    </row>
    <row r="160" ht="15.75" customHeight="1">
      <c r="A160" s="2"/>
      <c r="B160" s="2"/>
      <c r="C160" s="2"/>
      <c r="D160" s="2"/>
      <c r="E160" s="2"/>
      <c r="F160" s="2"/>
    </row>
    <row r="161" ht="15.75" customHeight="1">
      <c r="A161" s="2"/>
      <c r="B161" s="2"/>
      <c r="C161" s="2"/>
      <c r="D161" s="2"/>
      <c r="E161" s="2"/>
      <c r="F161" s="2"/>
    </row>
    <row r="162" ht="15.75" customHeight="1">
      <c r="A162" s="2"/>
      <c r="B162" s="2"/>
      <c r="C162" s="2"/>
      <c r="D162" s="2"/>
      <c r="E162" s="2"/>
      <c r="F162" s="2"/>
    </row>
    <row r="163" ht="15.75" customHeight="1">
      <c r="A163" s="2"/>
      <c r="B163" s="2"/>
      <c r="C163" s="2"/>
      <c r="D163" s="2"/>
      <c r="E163" s="2"/>
      <c r="F163" s="2"/>
    </row>
    <row r="164" ht="15.75" customHeight="1">
      <c r="A164" s="2"/>
      <c r="B164" s="2"/>
      <c r="C164" s="2"/>
      <c r="D164" s="2"/>
      <c r="E164" s="2"/>
      <c r="F164" s="2"/>
    </row>
    <row r="165" ht="15.75" customHeight="1">
      <c r="A165" s="2"/>
      <c r="B165" s="2"/>
      <c r="C165" s="2"/>
      <c r="D165" s="2"/>
      <c r="E165" s="2"/>
      <c r="F165" s="2"/>
    </row>
    <row r="166" ht="15.75" customHeight="1">
      <c r="A166" s="2"/>
      <c r="B166" s="2"/>
      <c r="C166" s="2"/>
      <c r="D166" s="2"/>
      <c r="E166" s="2"/>
      <c r="F166" s="2"/>
    </row>
    <row r="167" ht="15.75" customHeight="1">
      <c r="A167" s="2"/>
      <c r="B167" s="2"/>
      <c r="C167" s="2"/>
      <c r="D167" s="2"/>
      <c r="E167" s="2"/>
      <c r="F167" s="2"/>
    </row>
    <row r="168" ht="15.75" customHeight="1">
      <c r="A168" s="2"/>
      <c r="B168" s="2"/>
      <c r="C168" s="2"/>
      <c r="D168" s="2"/>
      <c r="E168" s="2"/>
      <c r="F168" s="2"/>
    </row>
    <row r="169" ht="15.75" customHeight="1">
      <c r="A169" s="2"/>
      <c r="B169" s="2"/>
      <c r="C169" s="2"/>
      <c r="D169" s="2"/>
      <c r="E169" s="2"/>
      <c r="F169" s="2"/>
    </row>
    <row r="170" ht="15.75" customHeight="1">
      <c r="A170" s="2"/>
      <c r="B170" s="2"/>
      <c r="C170" s="2"/>
      <c r="D170" s="2"/>
      <c r="E170" s="2"/>
      <c r="F170" s="2"/>
    </row>
    <row r="171" ht="15.75" customHeight="1">
      <c r="A171" s="2"/>
      <c r="B171" s="2"/>
      <c r="C171" s="2"/>
      <c r="D171" s="2"/>
      <c r="E171" s="2"/>
      <c r="F171" s="2"/>
    </row>
    <row r="172" ht="15.75" customHeight="1">
      <c r="A172" s="2"/>
      <c r="B172" s="2"/>
      <c r="C172" s="2"/>
      <c r="D172" s="2"/>
      <c r="E172" s="2"/>
      <c r="F172" s="2"/>
    </row>
    <row r="173" ht="15.75" customHeight="1">
      <c r="A173" s="2"/>
      <c r="B173" s="2"/>
      <c r="C173" s="2"/>
      <c r="D173" s="2"/>
      <c r="E173" s="2"/>
      <c r="F173" s="2"/>
    </row>
    <row r="174" ht="15.75" customHeight="1">
      <c r="A174" s="2"/>
      <c r="B174" s="2"/>
      <c r="C174" s="2"/>
      <c r="D174" s="2"/>
      <c r="E174" s="2"/>
      <c r="F174" s="2"/>
    </row>
    <row r="175" ht="15.75" customHeight="1">
      <c r="A175" s="2"/>
      <c r="B175" s="2"/>
      <c r="C175" s="2"/>
      <c r="D175" s="2"/>
      <c r="E175" s="2"/>
      <c r="F175" s="2"/>
    </row>
    <row r="176" ht="15.75" customHeight="1">
      <c r="A176" s="2"/>
      <c r="B176" s="2"/>
      <c r="C176" s="2"/>
      <c r="D176" s="2"/>
      <c r="E176" s="2"/>
      <c r="F176" s="2"/>
    </row>
    <row r="177" ht="15.75" customHeight="1">
      <c r="A177" s="2"/>
      <c r="B177" s="2"/>
      <c r="C177" s="2"/>
      <c r="D177" s="2"/>
      <c r="E177" s="2"/>
      <c r="F177" s="2"/>
    </row>
    <row r="178" ht="15.75" customHeight="1">
      <c r="A178" s="2"/>
      <c r="B178" s="2"/>
      <c r="C178" s="2"/>
      <c r="D178" s="2"/>
      <c r="E178" s="2"/>
      <c r="F178" s="2"/>
    </row>
    <row r="179" ht="15.75" customHeight="1">
      <c r="A179" s="2"/>
      <c r="B179" s="2"/>
      <c r="C179" s="2"/>
      <c r="D179" s="2"/>
      <c r="E179" s="2"/>
      <c r="F179" s="2"/>
    </row>
    <row r="180" ht="15.75" customHeight="1">
      <c r="A180" s="2"/>
      <c r="B180" s="2"/>
      <c r="C180" s="2"/>
      <c r="D180" s="2"/>
      <c r="E180" s="2"/>
      <c r="F180" s="2"/>
    </row>
    <row r="181" ht="15.75" customHeight="1">
      <c r="A181" s="2"/>
      <c r="B181" s="2"/>
      <c r="C181" s="2"/>
      <c r="D181" s="2"/>
      <c r="E181" s="2"/>
      <c r="F181" s="2"/>
    </row>
    <row r="182" ht="15.75" customHeight="1">
      <c r="A182" s="2"/>
      <c r="B182" s="2"/>
      <c r="C182" s="2"/>
      <c r="D182" s="2"/>
      <c r="E182" s="2"/>
      <c r="F182" s="2"/>
    </row>
    <row r="183" ht="15.75" customHeight="1">
      <c r="A183" s="2"/>
      <c r="B183" s="2"/>
      <c r="C183" s="2"/>
      <c r="D183" s="2"/>
      <c r="E183" s="2"/>
      <c r="F183" s="2"/>
    </row>
    <row r="184" ht="15.75" customHeight="1">
      <c r="A184" s="2"/>
      <c r="B184" s="2"/>
      <c r="C184" s="2"/>
      <c r="D184" s="2"/>
      <c r="E184" s="2"/>
      <c r="F184" s="2"/>
    </row>
    <row r="185" ht="15.75" customHeight="1">
      <c r="A185" s="2"/>
      <c r="B185" s="2"/>
      <c r="C185" s="2"/>
      <c r="D185" s="2"/>
      <c r="E185" s="2"/>
      <c r="F185" s="2"/>
    </row>
    <row r="186" ht="15.75" customHeight="1">
      <c r="A186" s="2"/>
      <c r="B186" s="2"/>
      <c r="C186" s="2"/>
      <c r="D186" s="2"/>
      <c r="E186" s="2"/>
      <c r="F186" s="2"/>
    </row>
    <row r="187" ht="15.75" customHeight="1">
      <c r="A187" s="2"/>
      <c r="B187" s="2"/>
      <c r="C187" s="2"/>
      <c r="D187" s="2"/>
      <c r="E187" s="2"/>
      <c r="F187" s="2"/>
    </row>
    <row r="188" ht="15.75" customHeight="1">
      <c r="A188" s="2"/>
      <c r="B188" s="2"/>
      <c r="C188" s="2"/>
      <c r="D188" s="2"/>
      <c r="E188" s="2"/>
      <c r="F188" s="2"/>
    </row>
    <row r="189" ht="15.75" customHeight="1">
      <c r="A189" s="2"/>
      <c r="B189" s="2"/>
      <c r="C189" s="2"/>
      <c r="D189" s="2"/>
      <c r="E189" s="2"/>
      <c r="F189" s="2"/>
    </row>
    <row r="190" ht="15.75" customHeight="1">
      <c r="A190" s="2"/>
      <c r="B190" s="2"/>
      <c r="C190" s="2"/>
      <c r="D190" s="2"/>
      <c r="E190" s="2"/>
      <c r="F190" s="2"/>
    </row>
    <row r="191" ht="15.75" customHeight="1">
      <c r="A191" s="2"/>
      <c r="B191" s="2"/>
      <c r="C191" s="2"/>
      <c r="D191" s="2"/>
      <c r="E191" s="2"/>
      <c r="F191" s="2"/>
    </row>
    <row r="192" ht="15.75" customHeight="1">
      <c r="A192" s="2"/>
      <c r="B192" s="2"/>
      <c r="C192" s="2"/>
      <c r="D192" s="2"/>
      <c r="E192" s="2"/>
      <c r="F192" s="2"/>
    </row>
    <row r="193" ht="15.75" customHeight="1">
      <c r="A193" s="2"/>
      <c r="B193" s="2"/>
      <c r="C193" s="2"/>
      <c r="D193" s="2"/>
      <c r="E193" s="2"/>
      <c r="F193" s="2"/>
    </row>
    <row r="194" ht="15.75" customHeight="1">
      <c r="A194" s="2"/>
      <c r="B194" s="2"/>
      <c r="C194" s="2"/>
      <c r="D194" s="2"/>
      <c r="E194" s="2"/>
      <c r="F194" s="2"/>
    </row>
    <row r="195" ht="15.75" customHeight="1">
      <c r="A195" s="2"/>
      <c r="B195" s="2"/>
      <c r="C195" s="2"/>
      <c r="D195" s="2"/>
      <c r="E195" s="2"/>
      <c r="F195" s="2"/>
    </row>
    <row r="196" ht="15.75" customHeight="1">
      <c r="A196" s="2"/>
      <c r="B196" s="2"/>
      <c r="C196" s="2"/>
      <c r="D196" s="2"/>
      <c r="E196" s="2"/>
      <c r="F196" s="2"/>
    </row>
    <row r="197" ht="15.75" customHeight="1">
      <c r="A197" s="2"/>
      <c r="B197" s="2"/>
      <c r="C197" s="2"/>
      <c r="D197" s="2"/>
      <c r="E197" s="2"/>
      <c r="F197" s="2"/>
    </row>
    <row r="198" ht="15.75" customHeight="1">
      <c r="A198" s="2"/>
      <c r="B198" s="2"/>
      <c r="C198" s="2"/>
      <c r="D198" s="2"/>
      <c r="E198" s="2"/>
      <c r="F198" s="2"/>
    </row>
    <row r="199" ht="15.75" customHeight="1">
      <c r="A199" s="2"/>
      <c r="B199" s="2"/>
      <c r="C199" s="2"/>
      <c r="D199" s="2"/>
      <c r="E199" s="2"/>
      <c r="F199" s="2"/>
    </row>
    <row r="200" ht="15.75" customHeight="1">
      <c r="A200" s="2"/>
      <c r="B200" s="2"/>
      <c r="C200" s="2"/>
      <c r="D200" s="2"/>
      <c r="E200" s="2"/>
      <c r="F200" s="2"/>
    </row>
    <row r="201" ht="15.75" customHeight="1">
      <c r="A201" s="2"/>
      <c r="B201" s="2"/>
      <c r="C201" s="2"/>
      <c r="D201" s="2"/>
      <c r="E201" s="2"/>
      <c r="F201" s="2"/>
    </row>
    <row r="202" ht="15.75" customHeight="1">
      <c r="A202" s="2"/>
      <c r="B202" s="2"/>
      <c r="C202" s="2"/>
      <c r="D202" s="2"/>
      <c r="E202" s="2"/>
      <c r="F202" s="2"/>
    </row>
    <row r="203" ht="15.75" customHeight="1">
      <c r="A203" s="2"/>
      <c r="B203" s="2"/>
      <c r="C203" s="2"/>
      <c r="D203" s="2"/>
      <c r="E203" s="2"/>
      <c r="F203" s="2"/>
    </row>
    <row r="204" ht="15.75" customHeight="1">
      <c r="A204" s="2"/>
      <c r="B204" s="2"/>
      <c r="C204" s="2"/>
      <c r="D204" s="2"/>
      <c r="E204" s="2"/>
      <c r="F204" s="2"/>
    </row>
    <row r="205" ht="15.75" customHeight="1">
      <c r="A205" s="2"/>
      <c r="B205" s="2"/>
      <c r="C205" s="2"/>
      <c r="D205" s="2"/>
      <c r="E205" s="2"/>
      <c r="F205" s="2"/>
    </row>
    <row r="206" ht="15.75" customHeight="1">
      <c r="A206" s="2"/>
      <c r="B206" s="2"/>
      <c r="C206" s="2"/>
      <c r="D206" s="2"/>
      <c r="E206" s="2"/>
      <c r="F206" s="2"/>
    </row>
    <row r="207" ht="15.75" customHeight="1">
      <c r="A207" s="2"/>
      <c r="B207" s="2"/>
      <c r="C207" s="2"/>
      <c r="D207" s="2"/>
      <c r="E207" s="2"/>
      <c r="F207" s="2"/>
    </row>
    <row r="208" ht="15.75" customHeight="1">
      <c r="A208" s="2"/>
      <c r="B208" s="2"/>
      <c r="C208" s="2"/>
      <c r="D208" s="2"/>
      <c r="E208" s="2"/>
      <c r="F208" s="2"/>
    </row>
    <row r="209" ht="15.75" customHeight="1">
      <c r="A209" s="2"/>
      <c r="B209" s="2"/>
      <c r="C209" s="2"/>
      <c r="D209" s="2"/>
      <c r="E209" s="2"/>
      <c r="F209" s="2"/>
    </row>
    <row r="210" ht="15.75" customHeight="1">
      <c r="A210" s="2"/>
      <c r="B210" s="2"/>
      <c r="C210" s="2"/>
      <c r="D210" s="2"/>
      <c r="E210" s="2"/>
      <c r="F210" s="2"/>
    </row>
    <row r="211" ht="15.75" customHeight="1">
      <c r="A211" s="2"/>
      <c r="B211" s="2"/>
      <c r="C211" s="2"/>
      <c r="D211" s="2"/>
      <c r="E211" s="2"/>
      <c r="F211" s="2"/>
    </row>
    <row r="212" ht="15.75" customHeight="1">
      <c r="A212" s="2"/>
      <c r="B212" s="2"/>
      <c r="C212" s="2"/>
      <c r="D212" s="2"/>
      <c r="E212" s="2"/>
      <c r="F212" s="2"/>
    </row>
    <row r="213" ht="15.75" customHeight="1">
      <c r="A213" s="2"/>
      <c r="B213" s="2"/>
      <c r="C213" s="2"/>
      <c r="D213" s="2"/>
      <c r="E213" s="2"/>
      <c r="F213" s="2"/>
    </row>
    <row r="214" ht="15.75" customHeight="1">
      <c r="A214" s="2"/>
      <c r="B214" s="2"/>
      <c r="C214" s="2"/>
      <c r="D214" s="2"/>
      <c r="E214" s="2"/>
      <c r="F214" s="2"/>
    </row>
    <row r="215" ht="15.75" customHeight="1">
      <c r="A215" s="2"/>
      <c r="B215" s="2"/>
      <c r="C215" s="2"/>
      <c r="D215" s="2"/>
      <c r="E215" s="2"/>
      <c r="F215" s="2"/>
    </row>
    <row r="216" ht="15.75" customHeight="1">
      <c r="A216" s="2"/>
      <c r="B216" s="2"/>
      <c r="C216" s="2"/>
      <c r="D216" s="2"/>
      <c r="E216" s="2"/>
      <c r="F216" s="2"/>
    </row>
    <row r="217" ht="15.75" customHeight="1">
      <c r="A217" s="2"/>
      <c r="B217" s="2"/>
      <c r="C217" s="2"/>
      <c r="D217" s="2"/>
      <c r="E217" s="2"/>
      <c r="F217" s="2"/>
    </row>
    <row r="218" ht="15.75" customHeight="1">
      <c r="A218" s="2"/>
      <c r="B218" s="2"/>
      <c r="C218" s="2"/>
      <c r="D218" s="2"/>
      <c r="E218" s="2"/>
      <c r="F218" s="2"/>
    </row>
    <row r="219" ht="15.75" customHeight="1">
      <c r="A219" s="2"/>
      <c r="B219" s="2"/>
      <c r="C219" s="2"/>
      <c r="D219" s="2"/>
      <c r="E219" s="2"/>
      <c r="F219" s="2"/>
    </row>
    <row r="220" ht="15.75" customHeight="1">
      <c r="A220" s="2"/>
      <c r="B220" s="2"/>
      <c r="C220" s="2"/>
      <c r="D220" s="2"/>
      <c r="E220" s="2"/>
      <c r="F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mergeCells count="2">
    <mergeCell ref="A1:F1"/>
    <mergeCell ref="A2:F2"/>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4.86"/>
    <col customWidth="1" min="2" max="2" width="105.0"/>
    <col customWidth="1" min="3" max="3" width="78.71"/>
    <col customWidth="1" min="4" max="4" width="34.71"/>
    <col customWidth="1" min="5" max="5" width="11.86"/>
    <col customWidth="1" min="6" max="6" width="8.71"/>
  </cols>
  <sheetData>
    <row r="1" ht="19.5" customHeight="1">
      <c r="A1" s="14" t="s">
        <v>350</v>
      </c>
      <c r="H1" s="2"/>
      <c r="I1" s="2"/>
      <c r="J1" s="2"/>
      <c r="K1" s="2"/>
      <c r="L1" s="2"/>
      <c r="M1" s="2"/>
      <c r="N1" s="2"/>
      <c r="O1" s="2"/>
      <c r="P1" s="2"/>
      <c r="Q1" s="2"/>
      <c r="R1" s="2"/>
      <c r="S1" s="2"/>
      <c r="T1" s="2"/>
      <c r="U1" s="2"/>
      <c r="V1" s="2"/>
      <c r="W1" s="2"/>
      <c r="X1" s="2"/>
      <c r="Y1" s="2"/>
      <c r="Z1" s="2"/>
    </row>
    <row r="2" ht="25.5" customHeight="1">
      <c r="A2" s="15" t="s">
        <v>351</v>
      </c>
      <c r="H2" s="2"/>
      <c r="I2" s="2"/>
      <c r="J2" s="2"/>
      <c r="K2" s="2"/>
      <c r="L2" s="2"/>
      <c r="M2" s="2"/>
      <c r="N2" s="2"/>
      <c r="O2" s="2"/>
      <c r="P2" s="2"/>
      <c r="Q2" s="2"/>
      <c r="R2" s="2"/>
      <c r="S2" s="2"/>
      <c r="T2" s="2"/>
      <c r="U2" s="2"/>
      <c r="V2" s="2"/>
      <c r="W2" s="2"/>
      <c r="X2" s="2"/>
      <c r="Y2" s="2"/>
      <c r="Z2" s="2"/>
    </row>
    <row r="3" ht="15.0" customHeight="1">
      <c r="A3" s="2"/>
      <c r="B3" s="2"/>
      <c r="C3" s="2"/>
      <c r="D3" s="2"/>
      <c r="E3" s="2"/>
      <c r="F3" s="2"/>
      <c r="G3" s="2"/>
      <c r="H3" s="2"/>
      <c r="I3" s="2"/>
      <c r="J3" s="2"/>
      <c r="K3" s="2"/>
      <c r="L3" s="2"/>
      <c r="M3" s="2"/>
      <c r="N3" s="2"/>
      <c r="O3" s="2"/>
      <c r="P3" s="2"/>
      <c r="Q3" s="2"/>
      <c r="R3" s="2"/>
      <c r="S3" s="2"/>
      <c r="T3" s="2"/>
      <c r="U3" s="2"/>
      <c r="V3" s="2"/>
      <c r="W3" s="2"/>
      <c r="X3" s="2"/>
      <c r="Y3" s="2"/>
      <c r="Z3" s="2"/>
    </row>
    <row r="4" ht="30.0" customHeight="1">
      <c r="A4" s="16" t="s">
        <v>352</v>
      </c>
      <c r="B4" s="16" t="s">
        <v>353</v>
      </c>
      <c r="C4" s="16" t="s">
        <v>354</v>
      </c>
      <c r="D4" s="16" t="s">
        <v>355</v>
      </c>
      <c r="E4" s="16" t="s">
        <v>356</v>
      </c>
      <c r="F4" s="2"/>
      <c r="G4" s="2"/>
      <c r="H4" s="2"/>
      <c r="I4" s="2"/>
      <c r="J4" s="2"/>
      <c r="K4" s="2"/>
      <c r="L4" s="2"/>
      <c r="M4" s="2"/>
      <c r="N4" s="2"/>
      <c r="O4" s="2"/>
      <c r="P4" s="2"/>
      <c r="Q4" s="2"/>
      <c r="R4" s="2"/>
      <c r="S4" s="2"/>
      <c r="T4" s="2"/>
      <c r="U4" s="2"/>
      <c r="V4" s="2"/>
      <c r="W4" s="2"/>
      <c r="X4" s="2"/>
      <c r="Y4" s="2"/>
      <c r="Z4" s="2"/>
    </row>
    <row r="5" ht="75.0" customHeight="1">
      <c r="A5" s="17" t="s">
        <v>207</v>
      </c>
      <c r="B5" s="17" t="s">
        <v>357</v>
      </c>
      <c r="C5" s="17" t="s">
        <v>358</v>
      </c>
      <c r="D5" s="17" t="s">
        <v>359</v>
      </c>
      <c r="E5" s="17" t="s">
        <v>67</v>
      </c>
      <c r="F5" s="2"/>
      <c r="G5" s="2"/>
      <c r="H5" s="2"/>
      <c r="I5" s="2"/>
      <c r="J5" s="2"/>
      <c r="K5" s="2"/>
      <c r="L5" s="2"/>
      <c r="M5" s="2"/>
      <c r="N5" s="2"/>
      <c r="O5" s="2"/>
      <c r="P5" s="2"/>
      <c r="Q5" s="2"/>
      <c r="R5" s="2"/>
      <c r="S5" s="2"/>
      <c r="T5" s="2"/>
      <c r="U5" s="2"/>
      <c r="V5" s="2"/>
      <c r="W5" s="2"/>
      <c r="X5" s="2"/>
      <c r="Y5" s="2"/>
      <c r="Z5" s="2"/>
    </row>
    <row r="6" ht="75.0" customHeight="1">
      <c r="A6" s="19" t="s">
        <v>231</v>
      </c>
      <c r="B6" s="19" t="s">
        <v>360</v>
      </c>
      <c r="C6" s="19" t="s">
        <v>361</v>
      </c>
      <c r="D6" s="19" t="s">
        <v>362</v>
      </c>
      <c r="E6" s="19" t="s">
        <v>67</v>
      </c>
      <c r="F6" s="2"/>
      <c r="G6" s="2"/>
      <c r="H6" s="2"/>
      <c r="I6" s="2"/>
      <c r="J6" s="2"/>
      <c r="K6" s="2"/>
      <c r="L6" s="2"/>
      <c r="M6" s="2"/>
      <c r="N6" s="2"/>
      <c r="O6" s="2"/>
      <c r="P6" s="2"/>
      <c r="Q6" s="2"/>
      <c r="R6" s="2"/>
      <c r="S6" s="2"/>
      <c r="T6" s="2"/>
      <c r="U6" s="2"/>
      <c r="V6" s="2"/>
      <c r="W6" s="2"/>
      <c r="X6" s="2"/>
      <c r="Y6" s="2"/>
      <c r="Z6" s="2"/>
    </row>
    <row r="7" ht="75.0" customHeight="1">
      <c r="A7" s="17" t="s">
        <v>363</v>
      </c>
      <c r="B7" s="17" t="s">
        <v>364</v>
      </c>
      <c r="C7" s="17" t="s">
        <v>365</v>
      </c>
      <c r="D7" s="17" t="s">
        <v>172</v>
      </c>
      <c r="E7" s="28" t="s">
        <v>67</v>
      </c>
      <c r="F7" s="2"/>
      <c r="G7" s="2"/>
      <c r="H7" s="2"/>
      <c r="I7" s="2"/>
      <c r="J7" s="2"/>
      <c r="K7" s="2"/>
      <c r="L7" s="2"/>
      <c r="M7" s="2"/>
      <c r="N7" s="2"/>
      <c r="O7" s="2"/>
      <c r="P7" s="2"/>
      <c r="Q7" s="2"/>
      <c r="R7" s="2"/>
      <c r="S7" s="2"/>
      <c r="T7" s="2"/>
      <c r="U7" s="2"/>
      <c r="V7" s="2"/>
      <c r="W7" s="2"/>
      <c r="X7" s="2"/>
      <c r="Y7" s="2"/>
      <c r="Z7" s="2"/>
    </row>
    <row r="8" ht="75.0" customHeight="1">
      <c r="A8" s="19" t="s">
        <v>366</v>
      </c>
      <c r="B8" s="19" t="s">
        <v>367</v>
      </c>
      <c r="C8" s="19" t="s">
        <v>368</v>
      </c>
      <c r="D8" s="19" t="s">
        <v>369</v>
      </c>
      <c r="E8" s="19" t="s">
        <v>67</v>
      </c>
      <c r="F8" s="2"/>
      <c r="G8" s="2"/>
      <c r="H8" s="2"/>
      <c r="I8" s="2"/>
      <c r="J8" s="2"/>
      <c r="K8" s="2"/>
      <c r="L8" s="2"/>
      <c r="M8" s="2"/>
      <c r="N8" s="2"/>
      <c r="O8" s="2"/>
      <c r="P8" s="2"/>
      <c r="Q8" s="2"/>
      <c r="R8" s="2"/>
      <c r="S8" s="2"/>
      <c r="T8" s="2"/>
      <c r="U8" s="2"/>
      <c r="V8" s="2"/>
      <c r="W8" s="2"/>
      <c r="X8" s="2"/>
      <c r="Y8" s="2"/>
      <c r="Z8" s="2"/>
    </row>
    <row r="9" ht="75.0" customHeight="1">
      <c r="A9" s="17" t="s">
        <v>370</v>
      </c>
      <c r="B9" s="17" t="s">
        <v>371</v>
      </c>
      <c r="C9" s="17" t="s">
        <v>372</v>
      </c>
      <c r="D9" s="17" t="s">
        <v>373</v>
      </c>
      <c r="E9" s="17" t="s">
        <v>67</v>
      </c>
      <c r="F9" s="2"/>
      <c r="G9" s="2"/>
      <c r="H9" s="2"/>
      <c r="I9" s="2"/>
      <c r="J9" s="2"/>
      <c r="K9" s="2"/>
      <c r="L9" s="2"/>
      <c r="M9" s="2"/>
      <c r="N9" s="2"/>
      <c r="O9" s="2"/>
      <c r="P9" s="2"/>
      <c r="Q9" s="2"/>
      <c r="R9" s="2"/>
      <c r="S9" s="2"/>
      <c r="T9" s="2"/>
      <c r="U9" s="2"/>
      <c r="V9" s="2"/>
      <c r="W9" s="2"/>
      <c r="X9" s="2"/>
      <c r="Y9" s="2"/>
      <c r="Z9" s="2"/>
    </row>
    <row r="10" ht="75.0" customHeight="1">
      <c r="A10" s="19" t="s">
        <v>374</v>
      </c>
      <c r="B10" s="19" t="s">
        <v>375</v>
      </c>
      <c r="C10" s="19" t="s">
        <v>376</v>
      </c>
      <c r="D10" s="19" t="s">
        <v>377</v>
      </c>
      <c r="E10" s="19" t="s">
        <v>67</v>
      </c>
      <c r="F10" s="2"/>
      <c r="G10" s="2"/>
      <c r="H10" s="2"/>
      <c r="I10" s="2"/>
      <c r="J10" s="2"/>
      <c r="K10" s="2"/>
      <c r="L10" s="2"/>
      <c r="M10" s="2"/>
      <c r="N10" s="2"/>
      <c r="O10" s="2"/>
      <c r="P10" s="2"/>
      <c r="Q10" s="2"/>
      <c r="R10" s="2"/>
      <c r="S10" s="2"/>
      <c r="T10" s="2"/>
      <c r="U10" s="2"/>
      <c r="V10" s="2"/>
      <c r="W10" s="2"/>
      <c r="X10" s="2"/>
      <c r="Y10" s="2"/>
      <c r="Z10" s="2"/>
    </row>
    <row r="11" ht="33.75" customHeight="1">
      <c r="A11" s="23"/>
      <c r="B11" s="23"/>
      <c r="C11" s="23"/>
      <c r="D11" s="23"/>
      <c r="E11" s="23"/>
      <c r="F11" s="2"/>
      <c r="G11" s="2"/>
      <c r="H11" s="2"/>
      <c r="I11" s="2"/>
      <c r="J11" s="2"/>
      <c r="K11" s="2"/>
      <c r="L11" s="2"/>
      <c r="M11" s="2"/>
      <c r="N11" s="2"/>
      <c r="O11" s="2"/>
      <c r="P11" s="2"/>
      <c r="Q11" s="2"/>
      <c r="R11" s="2"/>
      <c r="S11" s="2"/>
      <c r="T11" s="2"/>
      <c r="U11" s="2"/>
      <c r="V11" s="2"/>
      <c r="W11" s="2"/>
      <c r="X11" s="2"/>
      <c r="Y11" s="2"/>
      <c r="Z11" s="2"/>
    </row>
    <row r="12" ht="33.75" customHeight="1">
      <c r="A12" s="21"/>
      <c r="B12" s="21"/>
      <c r="C12" s="21"/>
      <c r="D12" s="21"/>
      <c r="E12" s="21"/>
      <c r="F12" s="2"/>
      <c r="G12" s="2"/>
      <c r="H12" s="2"/>
      <c r="I12" s="2"/>
      <c r="J12" s="2"/>
      <c r="K12" s="2"/>
      <c r="L12" s="2"/>
      <c r="M12" s="2"/>
      <c r="N12" s="2"/>
      <c r="O12" s="2"/>
      <c r="P12" s="2"/>
      <c r="Q12" s="2"/>
      <c r="R12" s="2"/>
      <c r="S12" s="2"/>
      <c r="T12" s="2"/>
      <c r="U12" s="2"/>
      <c r="V12" s="2"/>
      <c r="W12" s="2"/>
      <c r="X12" s="2"/>
      <c r="Y12" s="2"/>
      <c r="Z12" s="2"/>
    </row>
    <row r="13" ht="33.75" customHeight="1">
      <c r="A13" s="23"/>
      <c r="B13" s="23"/>
      <c r="C13" s="23"/>
      <c r="D13" s="23"/>
      <c r="E13" s="23"/>
      <c r="F13" s="2"/>
      <c r="G13" s="2"/>
      <c r="H13" s="2"/>
      <c r="I13" s="2"/>
      <c r="J13" s="2"/>
      <c r="K13" s="2"/>
      <c r="L13" s="2"/>
      <c r="M13" s="2"/>
      <c r="N13" s="2"/>
      <c r="O13" s="2"/>
      <c r="P13" s="2"/>
      <c r="Q13" s="2"/>
      <c r="R13" s="2"/>
      <c r="S13" s="2"/>
      <c r="T13" s="2"/>
      <c r="U13" s="2"/>
      <c r="V13" s="2"/>
      <c r="W13" s="2"/>
      <c r="X13" s="2"/>
      <c r="Y13" s="2"/>
      <c r="Z13" s="2"/>
    </row>
    <row r="14" ht="33.75" customHeight="1">
      <c r="A14" s="21"/>
      <c r="B14" s="21"/>
      <c r="C14" s="21"/>
      <c r="D14" s="21"/>
      <c r="E14" s="21"/>
      <c r="F14" s="2"/>
      <c r="G14" s="2"/>
      <c r="H14" s="2"/>
      <c r="I14" s="2"/>
      <c r="J14" s="2"/>
      <c r="K14" s="2"/>
      <c r="L14" s="2"/>
      <c r="M14" s="2"/>
      <c r="N14" s="2"/>
      <c r="O14" s="2"/>
      <c r="P14" s="2"/>
      <c r="Q14" s="2"/>
      <c r="R14" s="2"/>
      <c r="S14" s="2"/>
      <c r="T14" s="2"/>
      <c r="U14" s="2"/>
      <c r="V14" s="2"/>
      <c r="W14" s="2"/>
      <c r="X14" s="2"/>
      <c r="Y14" s="2"/>
      <c r="Z14" s="2"/>
    </row>
    <row r="15" ht="33.75" customHeight="1">
      <c r="A15" s="23"/>
      <c r="B15" s="23"/>
      <c r="C15" s="23"/>
      <c r="D15" s="23"/>
      <c r="E15" s="23"/>
      <c r="F15" s="2"/>
      <c r="G15" s="2"/>
      <c r="H15" s="2"/>
      <c r="I15" s="2"/>
      <c r="J15" s="2"/>
      <c r="K15" s="2"/>
      <c r="L15" s="2"/>
      <c r="M15" s="2"/>
      <c r="N15" s="2"/>
      <c r="O15" s="2"/>
      <c r="P15" s="2"/>
      <c r="Q15" s="2"/>
      <c r="R15" s="2"/>
      <c r="S15" s="2"/>
      <c r="T15" s="2"/>
      <c r="U15" s="2"/>
      <c r="V15" s="2"/>
      <c r="W15" s="2"/>
      <c r="X15" s="2"/>
      <c r="Y15" s="2"/>
      <c r="Z15" s="2"/>
    </row>
    <row r="16" ht="33.75" customHeight="1">
      <c r="A16" s="21"/>
      <c r="B16" s="21"/>
      <c r="C16" s="21"/>
      <c r="D16" s="21"/>
      <c r="E16" s="21"/>
      <c r="F16" s="2"/>
      <c r="G16" s="2"/>
      <c r="H16" s="2"/>
      <c r="I16" s="2"/>
      <c r="J16" s="2"/>
      <c r="K16" s="2"/>
      <c r="L16" s="2"/>
      <c r="M16" s="2"/>
      <c r="N16" s="2"/>
      <c r="O16" s="2"/>
      <c r="P16" s="2"/>
      <c r="Q16" s="2"/>
      <c r="R16" s="2"/>
      <c r="S16" s="2"/>
      <c r="T16" s="2"/>
      <c r="U16" s="2"/>
      <c r="V16" s="2"/>
      <c r="W16" s="2"/>
      <c r="X16" s="2"/>
      <c r="Y16" s="2"/>
      <c r="Z16" s="2"/>
    </row>
    <row r="17" ht="33.75" customHeight="1">
      <c r="A17" s="23"/>
      <c r="B17" s="23"/>
      <c r="C17" s="23"/>
      <c r="D17" s="23"/>
      <c r="E17" s="23"/>
      <c r="F17" s="2"/>
      <c r="G17" s="2"/>
      <c r="H17" s="2"/>
      <c r="I17" s="2"/>
      <c r="J17" s="2"/>
      <c r="K17" s="2"/>
      <c r="L17" s="2"/>
      <c r="M17" s="2"/>
      <c r="N17" s="2"/>
      <c r="O17" s="2"/>
      <c r="P17" s="2"/>
      <c r="Q17" s="2"/>
      <c r="R17" s="2"/>
      <c r="S17" s="2"/>
      <c r="T17" s="2"/>
      <c r="U17" s="2"/>
      <c r="V17" s="2"/>
      <c r="W17" s="2"/>
      <c r="X17" s="2"/>
      <c r="Y17" s="2"/>
      <c r="Z17" s="2"/>
    </row>
    <row r="18" ht="33.75" customHeight="1">
      <c r="A18" s="21"/>
      <c r="B18" s="21"/>
      <c r="C18" s="21"/>
      <c r="D18" s="21"/>
      <c r="E18" s="21"/>
      <c r="F18" s="2"/>
      <c r="G18" s="2"/>
      <c r="H18" s="2"/>
      <c r="I18" s="2"/>
      <c r="J18" s="2"/>
      <c r="K18" s="2"/>
      <c r="L18" s="2"/>
      <c r="M18" s="2"/>
      <c r="N18" s="2"/>
      <c r="O18" s="2"/>
      <c r="P18" s="2"/>
      <c r="Q18" s="2"/>
      <c r="R18" s="2"/>
      <c r="S18" s="2"/>
      <c r="T18" s="2"/>
      <c r="U18" s="2"/>
      <c r="V18" s="2"/>
      <c r="W18" s="2"/>
      <c r="X18" s="2"/>
      <c r="Y18" s="2"/>
      <c r="Z18" s="2"/>
    </row>
    <row r="19" ht="33.75" customHeight="1">
      <c r="A19" s="23"/>
      <c r="B19" s="23"/>
      <c r="C19" s="23"/>
      <c r="D19" s="23"/>
      <c r="E19" s="23"/>
      <c r="F19" s="2"/>
      <c r="G19" s="2"/>
      <c r="H19" s="2"/>
      <c r="I19" s="2"/>
      <c r="J19" s="2"/>
      <c r="K19" s="2"/>
      <c r="L19" s="2"/>
      <c r="M19" s="2"/>
      <c r="N19" s="2"/>
      <c r="O19" s="2"/>
      <c r="P19" s="2"/>
      <c r="Q19" s="2"/>
      <c r="R19" s="2"/>
      <c r="S19" s="2"/>
      <c r="T19" s="2"/>
      <c r="U19" s="2"/>
      <c r="V19" s="2"/>
      <c r="W19" s="2"/>
      <c r="X19" s="2"/>
      <c r="Y19" s="2"/>
      <c r="Z19" s="2"/>
    </row>
    <row r="20" ht="33.75" customHeight="1">
      <c r="A20" s="21"/>
      <c r="B20" s="21"/>
      <c r="C20" s="21"/>
      <c r="D20" s="21"/>
      <c r="E20" s="21"/>
      <c r="F20" s="2"/>
      <c r="G20" s="2"/>
      <c r="H20" s="2"/>
      <c r="I20" s="2"/>
      <c r="J20" s="2"/>
      <c r="K20" s="2"/>
      <c r="L20" s="2"/>
      <c r="M20" s="2"/>
      <c r="N20" s="2"/>
      <c r="O20" s="2"/>
      <c r="P20" s="2"/>
      <c r="Q20" s="2"/>
      <c r="R20" s="2"/>
      <c r="S20" s="2"/>
      <c r="T20" s="2"/>
      <c r="U20" s="2"/>
      <c r="V20" s="2"/>
      <c r="W20" s="2"/>
      <c r="X20" s="2"/>
      <c r="Y20" s="2"/>
      <c r="Z20" s="2"/>
    </row>
    <row r="21" ht="33.75" customHeight="1">
      <c r="A21" s="23"/>
      <c r="B21" s="23"/>
      <c r="C21" s="23"/>
      <c r="D21" s="23"/>
      <c r="E21" s="23"/>
      <c r="F21" s="2"/>
      <c r="G21" s="2"/>
      <c r="H21" s="2"/>
      <c r="I21" s="2"/>
      <c r="J21" s="2"/>
      <c r="K21" s="2"/>
      <c r="L21" s="2"/>
      <c r="M21" s="2"/>
      <c r="N21" s="2"/>
      <c r="O21" s="2"/>
      <c r="P21" s="2"/>
      <c r="Q21" s="2"/>
      <c r="R21" s="2"/>
      <c r="S21" s="2"/>
      <c r="T21" s="2"/>
      <c r="U21" s="2"/>
      <c r="V21" s="2"/>
      <c r="W21" s="2"/>
      <c r="X21" s="2"/>
      <c r="Y21" s="2"/>
      <c r="Z21" s="2"/>
    </row>
    <row r="22" ht="33.75" customHeight="1">
      <c r="A22" s="21"/>
      <c r="B22" s="21"/>
      <c r="C22" s="21"/>
      <c r="D22" s="21"/>
      <c r="E22" s="21"/>
      <c r="F22" s="2"/>
      <c r="G22" s="2"/>
      <c r="H22" s="2"/>
      <c r="I22" s="2"/>
      <c r="J22" s="2"/>
      <c r="K22" s="2"/>
      <c r="L22" s="2"/>
      <c r="M22" s="2"/>
      <c r="N22" s="2"/>
      <c r="O22" s="2"/>
      <c r="P22" s="2"/>
      <c r="Q22" s="2"/>
      <c r="R22" s="2"/>
      <c r="S22" s="2"/>
      <c r="T22" s="2"/>
      <c r="U22" s="2"/>
      <c r="V22" s="2"/>
      <c r="W22" s="2"/>
      <c r="X22" s="2"/>
      <c r="Y22" s="2"/>
      <c r="Z22" s="2"/>
    </row>
    <row r="23" ht="33.75" customHeight="1">
      <c r="A23" s="23"/>
      <c r="B23" s="23"/>
      <c r="C23" s="23"/>
      <c r="D23" s="23"/>
      <c r="E23" s="23"/>
      <c r="F23" s="2"/>
      <c r="G23" s="2"/>
      <c r="H23" s="2"/>
      <c r="I23" s="2"/>
      <c r="J23" s="2"/>
      <c r="K23" s="2"/>
      <c r="L23" s="2"/>
      <c r="M23" s="2"/>
      <c r="N23" s="2"/>
      <c r="O23" s="2"/>
      <c r="P23" s="2"/>
      <c r="Q23" s="2"/>
      <c r="R23" s="2"/>
      <c r="S23" s="2"/>
      <c r="T23" s="2"/>
      <c r="U23" s="2"/>
      <c r="V23" s="2"/>
      <c r="W23" s="2"/>
      <c r="X23" s="2"/>
      <c r="Y23" s="2"/>
      <c r="Z23" s="2"/>
    </row>
    <row r="24" ht="33.75" customHeight="1">
      <c r="A24" s="21"/>
      <c r="B24" s="21"/>
      <c r="C24" s="21"/>
      <c r="D24" s="21"/>
      <c r="E24" s="21"/>
      <c r="F24" s="2"/>
      <c r="G24" s="2"/>
      <c r="H24" s="2"/>
      <c r="I24" s="2"/>
      <c r="J24" s="2"/>
      <c r="K24" s="2"/>
      <c r="L24" s="2"/>
      <c r="M24" s="2"/>
      <c r="N24" s="2"/>
      <c r="O24" s="2"/>
      <c r="P24" s="2"/>
      <c r="Q24" s="2"/>
      <c r="R24" s="2"/>
      <c r="S24" s="2"/>
      <c r="T24" s="2"/>
      <c r="U24" s="2"/>
      <c r="V24" s="2"/>
      <c r="W24" s="2"/>
      <c r="X24" s="2"/>
      <c r="Y24" s="2"/>
      <c r="Z24" s="2"/>
    </row>
    <row r="25" ht="33.75" customHeight="1">
      <c r="A25" s="23"/>
      <c r="B25" s="23"/>
      <c r="C25" s="23"/>
      <c r="D25" s="23"/>
      <c r="E25" s="23"/>
      <c r="F25" s="2"/>
      <c r="G25" s="2"/>
      <c r="H25" s="2"/>
      <c r="I25" s="2"/>
      <c r="J25" s="2"/>
      <c r="K25" s="2"/>
      <c r="L25" s="2"/>
      <c r="M25" s="2"/>
      <c r="N25" s="2"/>
      <c r="O25" s="2"/>
      <c r="P25" s="2"/>
      <c r="Q25" s="2"/>
      <c r="R25" s="2"/>
      <c r="S25" s="2"/>
      <c r="T25" s="2"/>
      <c r="U25" s="2"/>
      <c r="V25" s="2"/>
      <c r="W25" s="2"/>
      <c r="X25" s="2"/>
      <c r="Y25" s="2"/>
      <c r="Z25" s="2"/>
    </row>
    <row r="26" ht="33.75" customHeight="1">
      <c r="A26" s="21"/>
      <c r="B26" s="21"/>
      <c r="C26" s="21"/>
      <c r="D26" s="21"/>
      <c r="E26" s="21"/>
      <c r="F26" s="2"/>
      <c r="G26" s="2"/>
      <c r="H26" s="2"/>
      <c r="I26" s="2"/>
      <c r="J26" s="2"/>
      <c r="K26" s="2"/>
      <c r="L26" s="2"/>
      <c r="M26" s="2"/>
      <c r="N26" s="2"/>
      <c r="O26" s="2"/>
      <c r="P26" s="2"/>
      <c r="Q26" s="2"/>
      <c r="R26" s="2"/>
      <c r="S26" s="2"/>
      <c r="T26" s="2"/>
      <c r="U26" s="2"/>
      <c r="V26" s="2"/>
      <c r="W26" s="2"/>
      <c r="X26" s="2"/>
      <c r="Y26" s="2"/>
      <c r="Z26" s="2"/>
    </row>
    <row r="27" ht="33.75" customHeight="1">
      <c r="A27" s="23"/>
      <c r="B27" s="23"/>
      <c r="C27" s="23"/>
      <c r="D27" s="23"/>
      <c r="E27" s="23"/>
      <c r="F27" s="2"/>
      <c r="G27" s="2"/>
      <c r="H27" s="2"/>
      <c r="I27" s="2"/>
      <c r="J27" s="2"/>
      <c r="K27" s="2"/>
      <c r="L27" s="2"/>
      <c r="M27" s="2"/>
      <c r="N27" s="2"/>
      <c r="O27" s="2"/>
      <c r="P27" s="2"/>
      <c r="Q27" s="2"/>
      <c r="R27" s="2"/>
      <c r="S27" s="2"/>
      <c r="T27" s="2"/>
      <c r="U27" s="2"/>
      <c r="V27" s="2"/>
      <c r="W27" s="2"/>
      <c r="X27" s="2"/>
      <c r="Y27" s="2"/>
      <c r="Z27" s="2"/>
    </row>
    <row r="28" ht="33.75" customHeight="1">
      <c r="A28" s="21"/>
      <c r="B28" s="21"/>
      <c r="C28" s="21"/>
      <c r="D28" s="21"/>
      <c r="E28" s="21"/>
      <c r="F28" s="2"/>
      <c r="G28" s="2"/>
      <c r="H28" s="2"/>
      <c r="I28" s="2"/>
      <c r="J28" s="2"/>
      <c r="K28" s="2"/>
      <c r="L28" s="2"/>
      <c r="M28" s="2"/>
      <c r="N28" s="2"/>
      <c r="O28" s="2"/>
      <c r="P28" s="2"/>
      <c r="Q28" s="2"/>
      <c r="R28" s="2"/>
      <c r="S28" s="2"/>
      <c r="T28" s="2"/>
      <c r="U28" s="2"/>
      <c r="V28" s="2"/>
      <c r="W28" s="2"/>
      <c r="X28" s="2"/>
      <c r="Y28" s="2"/>
      <c r="Z28" s="2"/>
    </row>
    <row r="29" ht="33.75" customHeight="1">
      <c r="A29" s="23"/>
      <c r="B29" s="23"/>
      <c r="C29" s="23"/>
      <c r="D29" s="23"/>
      <c r="E29" s="23"/>
      <c r="F29" s="2"/>
      <c r="G29" s="2"/>
      <c r="H29" s="2"/>
      <c r="I29" s="2"/>
      <c r="J29" s="2"/>
      <c r="K29" s="2"/>
      <c r="L29" s="2"/>
      <c r="M29" s="2"/>
      <c r="N29" s="2"/>
      <c r="O29" s="2"/>
      <c r="P29" s="2"/>
      <c r="Q29" s="2"/>
      <c r="R29" s="2"/>
      <c r="S29" s="2"/>
      <c r="T29" s="2"/>
      <c r="U29" s="2"/>
      <c r="V29" s="2"/>
      <c r="W29" s="2"/>
      <c r="X29" s="2"/>
      <c r="Y29" s="2"/>
      <c r="Z29" s="2"/>
    </row>
    <row r="30" ht="33.75" customHeight="1">
      <c r="A30" s="21"/>
      <c r="B30" s="21"/>
      <c r="C30" s="21"/>
      <c r="D30" s="21"/>
      <c r="E30" s="21"/>
      <c r="F30" s="2"/>
      <c r="G30" s="2"/>
      <c r="H30" s="2"/>
      <c r="I30" s="2"/>
      <c r="J30" s="2"/>
      <c r="K30" s="2"/>
      <c r="L30" s="2"/>
      <c r="M30" s="2"/>
      <c r="N30" s="2"/>
      <c r="O30" s="2"/>
      <c r="P30" s="2"/>
      <c r="Q30" s="2"/>
      <c r="R30" s="2"/>
      <c r="S30" s="2"/>
      <c r="T30" s="2"/>
      <c r="U30" s="2"/>
      <c r="V30" s="2"/>
      <c r="W30" s="2"/>
      <c r="X30" s="2"/>
      <c r="Y30" s="2"/>
      <c r="Z30" s="2"/>
    </row>
    <row r="31" ht="33.75" customHeight="1">
      <c r="A31" s="23"/>
      <c r="B31" s="23"/>
      <c r="C31" s="23"/>
      <c r="D31" s="23"/>
      <c r="E31" s="23"/>
      <c r="F31" s="2"/>
      <c r="G31" s="2"/>
      <c r="H31" s="2"/>
      <c r="I31" s="2"/>
      <c r="J31" s="2"/>
      <c r="K31" s="2"/>
      <c r="L31" s="2"/>
      <c r="M31" s="2"/>
      <c r="N31" s="2"/>
      <c r="O31" s="2"/>
      <c r="P31" s="2"/>
      <c r="Q31" s="2"/>
      <c r="R31" s="2"/>
      <c r="S31" s="2"/>
      <c r="T31" s="2"/>
      <c r="U31" s="2"/>
      <c r="V31" s="2"/>
      <c r="W31" s="2"/>
      <c r="X31" s="2"/>
      <c r="Y31" s="2"/>
      <c r="Z31" s="2"/>
    </row>
    <row r="32" ht="33.75" customHeight="1">
      <c r="A32" s="21"/>
      <c r="B32" s="21"/>
      <c r="C32" s="21"/>
      <c r="D32" s="21"/>
      <c r="E32" s="21"/>
      <c r="F32" s="2"/>
      <c r="G32" s="2"/>
      <c r="H32" s="2"/>
      <c r="I32" s="2"/>
      <c r="J32" s="2"/>
      <c r="K32" s="2"/>
      <c r="L32" s="2"/>
      <c r="M32" s="2"/>
      <c r="N32" s="2"/>
      <c r="O32" s="2"/>
      <c r="P32" s="2"/>
      <c r="Q32" s="2"/>
      <c r="R32" s="2"/>
      <c r="S32" s="2"/>
      <c r="T32" s="2"/>
      <c r="U32" s="2"/>
      <c r="V32" s="2"/>
      <c r="W32" s="2"/>
      <c r="X32" s="2"/>
      <c r="Y32" s="2"/>
      <c r="Z32" s="2"/>
    </row>
    <row r="33" ht="33.75" customHeight="1">
      <c r="A33" s="23"/>
      <c r="B33" s="23"/>
      <c r="C33" s="23"/>
      <c r="D33" s="23"/>
      <c r="E33" s="23"/>
      <c r="F33" s="2"/>
      <c r="G33" s="2"/>
      <c r="H33" s="2"/>
      <c r="I33" s="2"/>
      <c r="J33" s="2"/>
      <c r="K33" s="2"/>
      <c r="L33" s="2"/>
      <c r="M33" s="2"/>
      <c r="N33" s="2"/>
      <c r="O33" s="2"/>
      <c r="P33" s="2"/>
      <c r="Q33" s="2"/>
      <c r="R33" s="2"/>
      <c r="S33" s="2"/>
      <c r="T33" s="2"/>
      <c r="U33" s="2"/>
      <c r="V33" s="2"/>
      <c r="W33" s="2"/>
      <c r="X33" s="2"/>
      <c r="Y33" s="2"/>
      <c r="Z33" s="2"/>
    </row>
    <row r="34" ht="33.75" customHeight="1">
      <c r="A34" s="21"/>
      <c r="B34" s="21"/>
      <c r="C34" s="21"/>
      <c r="D34" s="21"/>
      <c r="E34" s="21"/>
      <c r="F34" s="2"/>
      <c r="G34" s="2"/>
      <c r="H34" s="2"/>
      <c r="I34" s="2"/>
      <c r="J34" s="2"/>
      <c r="K34" s="2"/>
      <c r="L34" s="2"/>
      <c r="M34" s="2"/>
      <c r="N34" s="2"/>
      <c r="O34" s="2"/>
      <c r="P34" s="2"/>
      <c r="Q34" s="2"/>
      <c r="R34" s="2"/>
      <c r="S34" s="2"/>
      <c r="T34" s="2"/>
      <c r="U34" s="2"/>
      <c r="V34" s="2"/>
      <c r="W34" s="2"/>
      <c r="X34" s="2"/>
      <c r="Y34" s="2"/>
      <c r="Z34" s="2"/>
    </row>
    <row r="35" ht="33.75" customHeight="1">
      <c r="A35" s="23"/>
      <c r="B35" s="23"/>
      <c r="C35" s="23"/>
      <c r="D35" s="23"/>
      <c r="E35" s="23"/>
      <c r="F35" s="2"/>
      <c r="G35" s="2"/>
      <c r="H35" s="2"/>
      <c r="I35" s="2"/>
      <c r="J35" s="2"/>
      <c r="K35" s="2"/>
      <c r="L35" s="2"/>
      <c r="M35" s="2"/>
      <c r="N35" s="2"/>
      <c r="O35" s="2"/>
      <c r="P35" s="2"/>
      <c r="Q35" s="2"/>
      <c r="R35" s="2"/>
      <c r="S35" s="2"/>
      <c r="T35" s="2"/>
      <c r="U35" s="2"/>
      <c r="V35" s="2"/>
      <c r="W35" s="2"/>
      <c r="X35" s="2"/>
      <c r="Y35" s="2"/>
      <c r="Z35" s="2"/>
    </row>
    <row r="36" ht="33.75" customHeight="1">
      <c r="A36" s="21"/>
      <c r="B36" s="21"/>
      <c r="C36" s="21"/>
      <c r="D36" s="21"/>
      <c r="E36" s="21"/>
      <c r="F36" s="2"/>
      <c r="G36" s="2"/>
      <c r="H36" s="2"/>
      <c r="I36" s="2"/>
      <c r="J36" s="2"/>
      <c r="K36" s="2"/>
      <c r="L36" s="2"/>
      <c r="M36" s="2"/>
      <c r="N36" s="2"/>
      <c r="O36" s="2"/>
      <c r="P36" s="2"/>
      <c r="Q36" s="2"/>
      <c r="R36" s="2"/>
      <c r="S36" s="2"/>
      <c r="T36" s="2"/>
      <c r="U36" s="2"/>
      <c r="V36" s="2"/>
      <c r="W36" s="2"/>
      <c r="X36" s="2"/>
      <c r="Y36" s="2"/>
      <c r="Z36" s="2"/>
    </row>
    <row r="37" ht="33.75" customHeight="1">
      <c r="A37" s="23"/>
      <c r="B37" s="23"/>
      <c r="C37" s="23"/>
      <c r="D37" s="23"/>
      <c r="E37" s="23"/>
      <c r="F37" s="2"/>
      <c r="G37" s="2"/>
      <c r="H37" s="2"/>
      <c r="I37" s="2"/>
      <c r="J37" s="2"/>
      <c r="K37" s="2"/>
      <c r="L37" s="2"/>
      <c r="M37" s="2"/>
      <c r="N37" s="2"/>
      <c r="O37" s="2"/>
      <c r="P37" s="2"/>
      <c r="Q37" s="2"/>
      <c r="R37" s="2"/>
      <c r="S37" s="2"/>
      <c r="T37" s="2"/>
      <c r="U37" s="2"/>
      <c r="V37" s="2"/>
      <c r="W37" s="2"/>
      <c r="X37" s="2"/>
      <c r="Y37" s="2"/>
      <c r="Z37" s="2"/>
    </row>
    <row r="38" ht="33.75" customHeight="1">
      <c r="A38" s="21"/>
      <c r="B38" s="21"/>
      <c r="C38" s="21"/>
      <c r="D38" s="21"/>
      <c r="E38" s="21"/>
      <c r="F38" s="2"/>
      <c r="G38" s="2"/>
      <c r="H38" s="2"/>
      <c r="I38" s="2"/>
      <c r="J38" s="2"/>
      <c r="K38" s="2"/>
      <c r="L38" s="2"/>
      <c r="M38" s="2"/>
      <c r="N38" s="2"/>
      <c r="O38" s="2"/>
      <c r="P38" s="2"/>
      <c r="Q38" s="2"/>
      <c r="R38" s="2"/>
      <c r="S38" s="2"/>
      <c r="T38" s="2"/>
      <c r="U38" s="2"/>
      <c r="V38" s="2"/>
      <c r="W38" s="2"/>
      <c r="X38" s="2"/>
      <c r="Y38" s="2"/>
      <c r="Z38" s="2"/>
    </row>
    <row r="39" ht="33.75" customHeight="1">
      <c r="A39" s="23"/>
      <c r="B39" s="23"/>
      <c r="C39" s="23"/>
      <c r="D39" s="23"/>
      <c r="E39" s="23"/>
      <c r="F39" s="2"/>
      <c r="G39" s="2"/>
      <c r="H39" s="2"/>
      <c r="I39" s="2"/>
      <c r="J39" s="2"/>
      <c r="K39" s="2"/>
      <c r="L39" s="2"/>
      <c r="M39" s="2"/>
      <c r="N39" s="2"/>
      <c r="O39" s="2"/>
      <c r="P39" s="2"/>
      <c r="Q39" s="2"/>
      <c r="R39" s="2"/>
      <c r="S39" s="2"/>
      <c r="T39" s="2"/>
      <c r="U39" s="2"/>
      <c r="V39" s="2"/>
      <c r="W39" s="2"/>
      <c r="X39" s="2"/>
      <c r="Y39" s="2"/>
      <c r="Z39" s="2"/>
    </row>
    <row r="40" ht="33.75" customHeight="1">
      <c r="A40" s="21"/>
      <c r="B40" s="21"/>
      <c r="C40" s="21"/>
      <c r="D40" s="21"/>
      <c r="E40" s="21"/>
      <c r="F40" s="2"/>
      <c r="G40" s="2"/>
      <c r="H40" s="2"/>
      <c r="I40" s="2"/>
      <c r="J40" s="2"/>
      <c r="K40" s="2"/>
      <c r="L40" s="2"/>
      <c r="M40" s="2"/>
      <c r="N40" s="2"/>
      <c r="O40" s="2"/>
      <c r="P40" s="2"/>
      <c r="Q40" s="2"/>
      <c r="R40" s="2"/>
      <c r="S40" s="2"/>
      <c r="T40" s="2"/>
      <c r="U40" s="2"/>
      <c r="V40" s="2"/>
      <c r="W40" s="2"/>
      <c r="X40" s="2"/>
      <c r="Y40" s="2"/>
      <c r="Z40" s="2"/>
    </row>
    <row r="41" ht="33.75" customHeight="1">
      <c r="A41" s="23"/>
      <c r="B41" s="23"/>
      <c r="C41" s="23"/>
      <c r="D41" s="23"/>
      <c r="E41" s="23"/>
      <c r="F41" s="2"/>
      <c r="G41" s="2"/>
      <c r="H41" s="2"/>
      <c r="I41" s="2"/>
      <c r="J41" s="2"/>
      <c r="K41" s="2"/>
      <c r="L41" s="2"/>
      <c r="M41" s="2"/>
      <c r="N41" s="2"/>
      <c r="O41" s="2"/>
      <c r="P41" s="2"/>
      <c r="Q41" s="2"/>
      <c r="R41" s="2"/>
      <c r="S41" s="2"/>
      <c r="T41" s="2"/>
      <c r="U41" s="2"/>
      <c r="V41" s="2"/>
      <c r="W41" s="2"/>
      <c r="X41" s="2"/>
      <c r="Y41" s="2"/>
      <c r="Z41" s="2"/>
    </row>
    <row r="42" ht="33.75" customHeight="1">
      <c r="A42" s="21"/>
      <c r="B42" s="21"/>
      <c r="C42" s="21"/>
      <c r="D42" s="21"/>
      <c r="E42" s="21"/>
      <c r="F42" s="2"/>
      <c r="G42" s="2"/>
      <c r="H42" s="2"/>
      <c r="I42" s="2"/>
      <c r="J42" s="2"/>
      <c r="K42" s="2"/>
      <c r="L42" s="2"/>
      <c r="M42" s="2"/>
      <c r="N42" s="2"/>
      <c r="O42" s="2"/>
      <c r="P42" s="2"/>
      <c r="Q42" s="2"/>
      <c r="R42" s="2"/>
      <c r="S42" s="2"/>
      <c r="T42" s="2"/>
      <c r="U42" s="2"/>
      <c r="V42" s="2"/>
      <c r="W42" s="2"/>
      <c r="X42" s="2"/>
      <c r="Y42" s="2"/>
      <c r="Z42" s="2"/>
    </row>
    <row r="43" ht="33.75" customHeight="1">
      <c r="A43" s="23"/>
      <c r="B43" s="23"/>
      <c r="C43" s="23"/>
      <c r="D43" s="23"/>
      <c r="E43" s="23"/>
      <c r="F43" s="2"/>
      <c r="G43" s="2"/>
      <c r="H43" s="2"/>
      <c r="I43" s="2"/>
      <c r="J43" s="2"/>
      <c r="K43" s="2"/>
      <c r="L43" s="2"/>
      <c r="M43" s="2"/>
      <c r="N43" s="2"/>
      <c r="O43" s="2"/>
      <c r="P43" s="2"/>
      <c r="Q43" s="2"/>
      <c r="R43" s="2"/>
      <c r="S43" s="2"/>
      <c r="T43" s="2"/>
      <c r="U43" s="2"/>
      <c r="V43" s="2"/>
      <c r="W43" s="2"/>
      <c r="X43" s="2"/>
      <c r="Y43" s="2"/>
      <c r="Z43" s="2"/>
    </row>
    <row r="44" ht="33.75" customHeight="1">
      <c r="A44" s="21"/>
      <c r="B44" s="21"/>
      <c r="C44" s="21"/>
      <c r="D44" s="21"/>
      <c r="E44" s="21"/>
      <c r="F44" s="2"/>
      <c r="G44" s="2"/>
      <c r="H44" s="2"/>
      <c r="I44" s="2"/>
      <c r="J44" s="2"/>
      <c r="K44" s="2"/>
      <c r="L44" s="2"/>
      <c r="M44" s="2"/>
      <c r="N44" s="2"/>
      <c r="O44" s="2"/>
      <c r="P44" s="2"/>
      <c r="Q44" s="2"/>
      <c r="R44" s="2"/>
      <c r="S44" s="2"/>
      <c r="T44" s="2"/>
      <c r="U44" s="2"/>
      <c r="V44" s="2"/>
      <c r="W44" s="2"/>
      <c r="X44" s="2"/>
      <c r="Y44" s="2"/>
      <c r="Z44" s="2"/>
    </row>
    <row r="45" ht="33.75" customHeight="1">
      <c r="A45" s="23"/>
      <c r="B45" s="23"/>
      <c r="C45" s="23"/>
      <c r="D45" s="23"/>
      <c r="E45" s="23"/>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mergeCells count="2">
    <mergeCell ref="A1:G1"/>
    <mergeCell ref="A2:G2"/>
  </mergeCells>
  <dataValidations>
    <dataValidation type="list" allowBlank="1" showInputMessage="1" showErrorMessage="1" prompt="Valor no admitido - Responda Sí o No." sqref="E5:E45">
      <formula1>"Sí,No"</formula1>
    </dataValidation>
  </dataValidation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53.0"/>
    <col customWidth="1" min="2" max="2" width="37.0"/>
    <col customWidth="1" min="3" max="3" width="102.57"/>
    <col customWidth="1" min="4" max="4" width="54.86"/>
    <col customWidth="1" min="5" max="26" width="8.71"/>
  </cols>
  <sheetData>
    <row r="1" ht="19.5" customHeight="1">
      <c r="A1" s="14" t="s">
        <v>378</v>
      </c>
    </row>
    <row r="2" ht="39.75" customHeight="1">
      <c r="A2" s="15" t="s">
        <v>379</v>
      </c>
    </row>
    <row r="3">
      <c r="A3" s="2"/>
      <c r="B3" s="2"/>
      <c r="C3" s="2"/>
      <c r="D3" s="2"/>
    </row>
    <row r="4" ht="30.0" customHeight="1">
      <c r="A4" s="16" t="s">
        <v>380</v>
      </c>
      <c r="B4" s="16" t="s">
        <v>381</v>
      </c>
      <c r="C4" s="16" t="s">
        <v>382</v>
      </c>
      <c r="D4" s="16" t="s">
        <v>261</v>
      </c>
    </row>
    <row r="5" ht="18.0" customHeight="1">
      <c r="A5" s="25" t="s">
        <v>383</v>
      </c>
      <c r="B5" s="17" t="s">
        <v>384</v>
      </c>
      <c r="C5" s="17" t="s">
        <v>385</v>
      </c>
      <c r="D5" s="17" t="s">
        <v>386</v>
      </c>
    </row>
    <row r="6" ht="30.0" customHeight="1">
      <c r="A6" s="19" t="s">
        <v>387</v>
      </c>
      <c r="B6" s="19" t="s">
        <v>388</v>
      </c>
      <c r="C6" s="19" t="s">
        <v>389</v>
      </c>
      <c r="D6" s="19" t="s">
        <v>390</v>
      </c>
    </row>
    <row r="7" ht="18.0" customHeight="1">
      <c r="A7" s="25" t="s">
        <v>391</v>
      </c>
      <c r="B7" s="17" t="s">
        <v>392</v>
      </c>
      <c r="C7" s="17" t="s">
        <v>393</v>
      </c>
      <c r="D7" s="17" t="s">
        <v>172</v>
      </c>
    </row>
    <row r="8" ht="30.0" customHeight="1">
      <c r="A8" s="19" t="s">
        <v>394</v>
      </c>
      <c r="B8" s="19" t="s">
        <v>395</v>
      </c>
      <c r="C8" s="19" t="s">
        <v>396</v>
      </c>
      <c r="D8" s="19" t="s">
        <v>397</v>
      </c>
    </row>
    <row r="9" ht="18.0" customHeight="1">
      <c r="A9" s="25" t="s">
        <v>398</v>
      </c>
      <c r="B9" s="17" t="s">
        <v>399</v>
      </c>
      <c r="C9" s="17" t="s">
        <v>400</v>
      </c>
      <c r="D9" s="17" t="s">
        <v>144</v>
      </c>
    </row>
    <row r="10" ht="18.0" customHeight="1">
      <c r="A10" s="19" t="s">
        <v>401</v>
      </c>
      <c r="B10" s="19" t="s">
        <v>402</v>
      </c>
      <c r="C10" s="19" t="s">
        <v>403</v>
      </c>
      <c r="D10" s="19" t="s">
        <v>141</v>
      </c>
    </row>
    <row r="11" ht="30.0" customHeight="1">
      <c r="A11" s="25" t="s">
        <v>404</v>
      </c>
      <c r="B11" s="17" t="s">
        <v>405</v>
      </c>
      <c r="C11" s="17" t="s">
        <v>406</v>
      </c>
      <c r="D11" s="17" t="s">
        <v>407</v>
      </c>
    </row>
    <row r="12" ht="18.0" customHeight="1">
      <c r="A12" s="19" t="s">
        <v>408</v>
      </c>
      <c r="B12" s="19" t="s">
        <v>409</v>
      </c>
      <c r="C12" s="19" t="s">
        <v>410</v>
      </c>
      <c r="D12" s="19" t="s">
        <v>161</v>
      </c>
    </row>
    <row r="13" ht="30.0" customHeight="1">
      <c r="A13" s="25" t="s">
        <v>411</v>
      </c>
      <c r="B13" s="17" t="s">
        <v>412</v>
      </c>
      <c r="C13" s="17" t="s">
        <v>413</v>
      </c>
      <c r="D13" s="17" t="s">
        <v>414</v>
      </c>
    </row>
    <row r="14">
      <c r="A14" s="2"/>
      <c r="B14" s="2"/>
      <c r="C14" s="2"/>
      <c r="D14" s="2"/>
    </row>
    <row r="15">
      <c r="A15" s="2"/>
      <c r="B15" s="2"/>
      <c r="C15" s="2"/>
      <c r="D15" s="2"/>
    </row>
    <row r="16">
      <c r="A16" s="2"/>
      <c r="B16" s="2"/>
      <c r="C16" s="2"/>
      <c r="D16" s="2"/>
    </row>
    <row r="17">
      <c r="A17" s="2"/>
      <c r="B17" s="2"/>
      <c r="C17" s="2"/>
      <c r="D17" s="2"/>
    </row>
    <row r="18">
      <c r="A18" s="2"/>
      <c r="B18" s="2"/>
      <c r="C18" s="2"/>
      <c r="D18" s="2"/>
    </row>
    <row r="19">
      <c r="A19" s="2"/>
      <c r="B19" s="2"/>
      <c r="C19" s="2"/>
      <c r="D19" s="2"/>
    </row>
    <row r="20">
      <c r="A20" s="2"/>
      <c r="B20" s="2"/>
      <c r="C20" s="2"/>
      <c r="D20" s="2"/>
    </row>
    <row r="21" ht="15.75" customHeight="1">
      <c r="A21" s="2"/>
      <c r="B21" s="2"/>
      <c r="C21" s="2"/>
      <c r="D21" s="2"/>
    </row>
    <row r="22" ht="15.75" customHeight="1">
      <c r="A22" s="2"/>
      <c r="B22" s="2"/>
      <c r="C22" s="2"/>
      <c r="D22" s="2"/>
    </row>
    <row r="23" ht="15.75" customHeight="1">
      <c r="A23" s="2"/>
      <c r="B23" s="2"/>
      <c r="C23" s="2"/>
      <c r="D23" s="2"/>
    </row>
    <row r="24" ht="15.75" customHeight="1">
      <c r="A24" s="2"/>
      <c r="B24" s="2"/>
      <c r="C24" s="2"/>
      <c r="D24" s="2"/>
    </row>
    <row r="25" ht="15.75" customHeight="1">
      <c r="A25" s="2"/>
      <c r="B25" s="2"/>
      <c r="C25" s="2"/>
      <c r="D25" s="2"/>
    </row>
    <row r="26" ht="15.75" customHeight="1">
      <c r="A26" s="2"/>
      <c r="B26" s="2"/>
      <c r="C26" s="2"/>
      <c r="D26" s="2"/>
    </row>
    <row r="27" ht="15.75" customHeight="1">
      <c r="A27" s="2"/>
      <c r="B27" s="2"/>
      <c r="C27" s="2"/>
      <c r="D27" s="2"/>
    </row>
    <row r="28" ht="15.75" customHeight="1">
      <c r="A28" s="2"/>
      <c r="B28" s="2"/>
      <c r="C28" s="2"/>
      <c r="D28" s="2"/>
    </row>
    <row r="29" ht="15.75" customHeight="1">
      <c r="A29" s="2"/>
      <c r="B29" s="2"/>
      <c r="C29" s="2"/>
      <c r="D29" s="2"/>
    </row>
    <row r="30" ht="15.75" customHeight="1">
      <c r="A30" s="2"/>
      <c r="B30" s="2"/>
      <c r="C30" s="2"/>
      <c r="D30" s="2"/>
    </row>
    <row r="31" ht="15.75" customHeight="1">
      <c r="A31" s="2"/>
      <c r="B31" s="2"/>
      <c r="C31" s="2"/>
      <c r="D31" s="2"/>
    </row>
    <row r="32" ht="15.75" customHeight="1">
      <c r="A32" s="2"/>
      <c r="B32" s="2"/>
      <c r="C32" s="2"/>
      <c r="D32" s="2"/>
    </row>
    <row r="33" ht="15.75" customHeight="1">
      <c r="A33" s="2"/>
      <c r="B33" s="2"/>
      <c r="C33" s="2"/>
      <c r="D33" s="2"/>
    </row>
    <row r="34" ht="15.75" customHeight="1">
      <c r="A34" s="2"/>
      <c r="B34" s="2"/>
      <c r="C34" s="2"/>
      <c r="D34" s="2"/>
    </row>
    <row r="35" ht="15.75" customHeight="1">
      <c r="A35" s="2"/>
      <c r="B35" s="2"/>
      <c r="C35" s="2"/>
      <c r="D35" s="2"/>
    </row>
    <row r="36" ht="15.75" customHeight="1">
      <c r="A36" s="2"/>
      <c r="B36" s="2"/>
      <c r="C36" s="2"/>
      <c r="D36" s="2"/>
    </row>
    <row r="37" ht="15.75" customHeight="1">
      <c r="A37" s="2"/>
      <c r="B37" s="2"/>
      <c r="C37" s="2"/>
      <c r="D37" s="2"/>
    </row>
    <row r="38" ht="15.75" customHeight="1">
      <c r="A38" s="2"/>
      <c r="B38" s="2"/>
      <c r="C38" s="2"/>
      <c r="D38" s="2"/>
    </row>
    <row r="39" ht="15.75" customHeight="1">
      <c r="A39" s="2"/>
      <c r="B39" s="2"/>
      <c r="C39" s="2"/>
      <c r="D39" s="2"/>
    </row>
    <row r="40" ht="15.75" customHeight="1">
      <c r="A40" s="2"/>
      <c r="B40" s="2"/>
      <c r="C40" s="2"/>
      <c r="D40" s="2"/>
    </row>
    <row r="41" ht="15.75" customHeight="1">
      <c r="A41" s="2"/>
      <c r="B41" s="2"/>
      <c r="C41" s="2"/>
      <c r="D41" s="2"/>
    </row>
    <row r="42" ht="15.75" customHeight="1">
      <c r="A42" s="2"/>
      <c r="B42" s="2"/>
      <c r="C42" s="2"/>
      <c r="D42" s="2"/>
    </row>
    <row r="43" ht="15.75" customHeight="1">
      <c r="A43" s="2"/>
      <c r="B43" s="2"/>
      <c r="C43" s="2"/>
      <c r="D43" s="2"/>
    </row>
    <row r="44" ht="15.75" customHeight="1">
      <c r="A44" s="2"/>
      <c r="B44" s="2"/>
      <c r="C44" s="2"/>
      <c r="D44" s="2"/>
    </row>
    <row r="45" ht="15.75" customHeight="1">
      <c r="A45" s="2"/>
      <c r="B45" s="2"/>
      <c r="C45" s="2"/>
      <c r="D45" s="2"/>
    </row>
    <row r="46" ht="15.75" customHeight="1">
      <c r="A46" s="2"/>
      <c r="B46" s="2"/>
      <c r="C46" s="2"/>
      <c r="D46" s="2"/>
    </row>
    <row r="47" ht="15.75" customHeight="1">
      <c r="A47" s="2"/>
      <c r="B47" s="2"/>
      <c r="C47" s="2"/>
      <c r="D47" s="2"/>
    </row>
    <row r="48" ht="15.75" customHeight="1">
      <c r="A48" s="2"/>
      <c r="B48" s="2"/>
      <c r="C48" s="2"/>
      <c r="D48" s="2"/>
    </row>
    <row r="49" ht="15.75" customHeight="1">
      <c r="A49" s="2"/>
      <c r="B49" s="2"/>
      <c r="C49" s="2"/>
      <c r="D49" s="2"/>
    </row>
    <row r="50" ht="15.75" customHeight="1">
      <c r="A50" s="2"/>
      <c r="B50" s="2"/>
      <c r="C50" s="2"/>
      <c r="D50" s="2"/>
    </row>
    <row r="51" ht="15.75" customHeight="1">
      <c r="A51" s="2"/>
      <c r="B51" s="2"/>
      <c r="C51" s="2"/>
      <c r="D51" s="2"/>
    </row>
    <row r="52" ht="15.75" customHeight="1">
      <c r="A52" s="2"/>
      <c r="B52" s="2"/>
      <c r="C52" s="2"/>
      <c r="D52" s="2"/>
    </row>
    <row r="53" ht="15.75" customHeight="1">
      <c r="A53" s="2"/>
      <c r="B53" s="2"/>
      <c r="C53" s="2"/>
      <c r="D53" s="2"/>
    </row>
    <row r="54" ht="15.75" customHeight="1">
      <c r="A54" s="2"/>
      <c r="B54" s="2"/>
      <c r="C54" s="2"/>
      <c r="D54" s="2"/>
    </row>
    <row r="55" ht="15.75" customHeight="1">
      <c r="A55" s="2"/>
      <c r="B55" s="2"/>
      <c r="C55" s="2"/>
      <c r="D55" s="2"/>
    </row>
    <row r="56" ht="15.75" customHeight="1">
      <c r="A56" s="2"/>
      <c r="B56" s="2"/>
      <c r="C56" s="2"/>
      <c r="D56" s="2"/>
    </row>
    <row r="57" ht="15.75" customHeight="1">
      <c r="A57" s="2"/>
      <c r="B57" s="2"/>
      <c r="C57" s="2"/>
      <c r="D57" s="2"/>
    </row>
    <row r="58" ht="15.75" customHeight="1">
      <c r="A58" s="2"/>
      <c r="B58" s="2"/>
      <c r="C58" s="2"/>
      <c r="D58" s="2"/>
    </row>
    <row r="59" ht="15.75" customHeight="1">
      <c r="A59" s="2"/>
      <c r="B59" s="2"/>
      <c r="C59" s="2"/>
      <c r="D59" s="2"/>
    </row>
    <row r="60" ht="15.75" customHeight="1">
      <c r="A60" s="2"/>
      <c r="B60" s="2"/>
      <c r="C60" s="2"/>
      <c r="D60" s="2"/>
    </row>
    <row r="61" ht="15.75" customHeight="1">
      <c r="A61" s="2"/>
      <c r="B61" s="2"/>
      <c r="C61" s="2"/>
      <c r="D61" s="2"/>
    </row>
    <row r="62" ht="15.75" customHeight="1">
      <c r="A62" s="2"/>
      <c r="B62" s="2"/>
      <c r="C62" s="2"/>
      <c r="D62" s="2"/>
    </row>
    <row r="63" ht="15.75" customHeight="1">
      <c r="A63" s="2"/>
      <c r="B63" s="2"/>
      <c r="C63" s="2"/>
      <c r="D63" s="2"/>
    </row>
    <row r="64" ht="15.75" customHeight="1">
      <c r="A64" s="2"/>
      <c r="B64" s="2"/>
      <c r="C64" s="2"/>
      <c r="D64" s="2"/>
    </row>
    <row r="65" ht="15.75" customHeight="1">
      <c r="A65" s="2"/>
      <c r="B65" s="2"/>
      <c r="C65" s="2"/>
      <c r="D65" s="2"/>
    </row>
    <row r="66" ht="15.75" customHeight="1">
      <c r="A66" s="2"/>
      <c r="B66" s="2"/>
      <c r="C66" s="2"/>
      <c r="D66" s="2"/>
    </row>
    <row r="67" ht="15.75" customHeight="1">
      <c r="A67" s="2"/>
      <c r="B67" s="2"/>
      <c r="C67" s="2"/>
      <c r="D67" s="2"/>
    </row>
    <row r="68" ht="15.75" customHeight="1">
      <c r="A68" s="2"/>
      <c r="B68" s="2"/>
      <c r="C68" s="2"/>
      <c r="D68" s="2"/>
    </row>
    <row r="69" ht="15.75" customHeight="1">
      <c r="A69" s="2"/>
      <c r="B69" s="2"/>
      <c r="C69" s="2"/>
      <c r="D69" s="2"/>
    </row>
    <row r="70" ht="15.75" customHeight="1">
      <c r="A70" s="2"/>
      <c r="B70" s="2"/>
      <c r="C70" s="2"/>
      <c r="D70" s="2"/>
    </row>
    <row r="71" ht="15.75" customHeight="1">
      <c r="A71" s="2"/>
      <c r="B71" s="2"/>
      <c r="C71" s="2"/>
      <c r="D71" s="2"/>
    </row>
    <row r="72" ht="15.75" customHeight="1">
      <c r="A72" s="2"/>
      <c r="B72" s="2"/>
      <c r="C72" s="2"/>
      <c r="D72" s="2"/>
    </row>
    <row r="73" ht="15.75" customHeight="1">
      <c r="A73" s="2"/>
      <c r="B73" s="2"/>
      <c r="C73" s="2"/>
      <c r="D73" s="2"/>
    </row>
    <row r="74" ht="15.75" customHeight="1">
      <c r="A74" s="2"/>
      <c r="B74" s="2"/>
      <c r="C74" s="2"/>
      <c r="D74" s="2"/>
    </row>
    <row r="75" ht="15.75" customHeight="1">
      <c r="A75" s="2"/>
      <c r="B75" s="2"/>
      <c r="C75" s="2"/>
      <c r="D75" s="2"/>
    </row>
    <row r="76" ht="15.75" customHeight="1">
      <c r="A76" s="2"/>
      <c r="B76" s="2"/>
      <c r="C76" s="2"/>
      <c r="D76" s="2"/>
    </row>
    <row r="77" ht="15.75" customHeight="1">
      <c r="A77" s="2"/>
      <c r="B77" s="2"/>
      <c r="C77" s="2"/>
      <c r="D77" s="2"/>
    </row>
    <row r="78" ht="15.75" customHeight="1">
      <c r="A78" s="2"/>
      <c r="B78" s="2"/>
      <c r="C78" s="2"/>
      <c r="D78" s="2"/>
    </row>
    <row r="79" ht="15.75" customHeight="1">
      <c r="A79" s="2"/>
      <c r="B79" s="2"/>
      <c r="C79" s="2"/>
      <c r="D79" s="2"/>
    </row>
    <row r="80" ht="15.75" customHeight="1">
      <c r="A80" s="2"/>
      <c r="B80" s="2"/>
      <c r="C80" s="2"/>
      <c r="D80" s="2"/>
    </row>
    <row r="81" ht="15.75" customHeight="1">
      <c r="A81" s="2"/>
      <c r="B81" s="2"/>
      <c r="C81" s="2"/>
      <c r="D81" s="2"/>
    </row>
    <row r="82" ht="15.75" customHeight="1">
      <c r="A82" s="2"/>
      <c r="B82" s="2"/>
      <c r="C82" s="2"/>
      <c r="D82" s="2"/>
    </row>
    <row r="83" ht="15.75" customHeight="1">
      <c r="A83" s="2"/>
      <c r="B83" s="2"/>
      <c r="C83" s="2"/>
      <c r="D83" s="2"/>
    </row>
    <row r="84" ht="15.75" customHeight="1">
      <c r="A84" s="2"/>
      <c r="B84" s="2"/>
      <c r="C84" s="2"/>
      <c r="D84" s="2"/>
    </row>
    <row r="85" ht="15.75" customHeight="1">
      <c r="A85" s="2"/>
      <c r="B85" s="2"/>
      <c r="C85" s="2"/>
      <c r="D85" s="2"/>
    </row>
    <row r="86" ht="15.75" customHeight="1">
      <c r="A86" s="2"/>
      <c r="B86" s="2"/>
      <c r="C86" s="2"/>
      <c r="D86" s="2"/>
    </row>
    <row r="87" ht="15.75" customHeight="1">
      <c r="A87" s="2"/>
      <c r="B87" s="2"/>
      <c r="C87" s="2"/>
      <c r="D87" s="2"/>
    </row>
    <row r="88" ht="15.75" customHeight="1">
      <c r="A88" s="2"/>
      <c r="B88" s="2"/>
      <c r="C88" s="2"/>
      <c r="D88" s="2"/>
    </row>
    <row r="89" ht="15.75" customHeight="1">
      <c r="A89" s="2"/>
      <c r="B89" s="2"/>
      <c r="C89" s="2"/>
      <c r="D89" s="2"/>
    </row>
    <row r="90" ht="15.75" customHeight="1">
      <c r="A90" s="2"/>
      <c r="B90" s="2"/>
      <c r="C90" s="2"/>
      <c r="D90" s="2"/>
    </row>
    <row r="91" ht="15.75" customHeight="1">
      <c r="A91" s="2"/>
      <c r="B91" s="2"/>
      <c r="C91" s="2"/>
      <c r="D91" s="2"/>
    </row>
    <row r="92" ht="15.75" customHeight="1">
      <c r="A92" s="2"/>
      <c r="B92" s="2"/>
      <c r="C92" s="2"/>
      <c r="D92" s="2"/>
    </row>
    <row r="93" ht="15.75" customHeight="1">
      <c r="A93" s="2"/>
      <c r="B93" s="2"/>
      <c r="C93" s="2"/>
      <c r="D93" s="2"/>
    </row>
    <row r="94" ht="15.75" customHeight="1">
      <c r="A94" s="2"/>
      <c r="B94" s="2"/>
      <c r="C94" s="2"/>
      <c r="D94" s="2"/>
    </row>
    <row r="95" ht="15.75" customHeight="1">
      <c r="A95" s="2"/>
      <c r="B95" s="2"/>
      <c r="C95" s="2"/>
      <c r="D95" s="2"/>
    </row>
    <row r="96" ht="15.75" customHeight="1">
      <c r="A96" s="2"/>
      <c r="B96" s="2"/>
      <c r="C96" s="2"/>
      <c r="D96" s="2"/>
    </row>
    <row r="97" ht="15.75" customHeight="1">
      <c r="A97" s="2"/>
      <c r="B97" s="2"/>
      <c r="C97" s="2"/>
      <c r="D97" s="2"/>
    </row>
    <row r="98" ht="15.75" customHeight="1">
      <c r="A98" s="2"/>
      <c r="B98" s="2"/>
      <c r="C98" s="2"/>
      <c r="D98" s="2"/>
    </row>
    <row r="99" ht="15.75" customHeight="1">
      <c r="A99" s="2"/>
      <c r="B99" s="2"/>
      <c r="C99" s="2"/>
      <c r="D99" s="2"/>
    </row>
    <row r="100" ht="15.75" customHeight="1">
      <c r="A100" s="2"/>
      <c r="B100" s="2"/>
      <c r="C100" s="2"/>
      <c r="D100" s="2"/>
    </row>
    <row r="101" ht="15.75" customHeight="1">
      <c r="A101" s="2"/>
      <c r="B101" s="2"/>
      <c r="C101" s="2"/>
      <c r="D101" s="2"/>
    </row>
    <row r="102" ht="15.75" customHeight="1">
      <c r="A102" s="2"/>
      <c r="B102" s="2"/>
      <c r="C102" s="2"/>
      <c r="D102" s="2"/>
    </row>
    <row r="103" ht="15.75" customHeight="1">
      <c r="A103" s="2"/>
      <c r="B103" s="2"/>
      <c r="C103" s="2"/>
      <c r="D103" s="2"/>
    </row>
    <row r="104" ht="15.75" customHeight="1">
      <c r="A104" s="2"/>
      <c r="B104" s="2"/>
      <c r="C104" s="2"/>
      <c r="D104" s="2"/>
    </row>
    <row r="105" ht="15.75" customHeight="1">
      <c r="A105" s="2"/>
      <c r="B105" s="2"/>
      <c r="C105" s="2"/>
      <c r="D105" s="2"/>
    </row>
    <row r="106" ht="15.75" customHeight="1">
      <c r="A106" s="2"/>
      <c r="B106" s="2"/>
      <c r="C106" s="2"/>
      <c r="D106" s="2"/>
    </row>
    <row r="107" ht="15.75" customHeight="1">
      <c r="A107" s="2"/>
      <c r="B107" s="2"/>
      <c r="C107" s="2"/>
      <c r="D107" s="2"/>
    </row>
    <row r="108" ht="15.75" customHeight="1">
      <c r="A108" s="2"/>
      <c r="B108" s="2"/>
      <c r="C108" s="2"/>
      <c r="D108" s="2"/>
    </row>
    <row r="109" ht="15.75" customHeight="1">
      <c r="A109" s="2"/>
      <c r="B109" s="2"/>
      <c r="C109" s="2"/>
      <c r="D109" s="2"/>
    </row>
    <row r="110" ht="15.75" customHeight="1">
      <c r="A110" s="2"/>
      <c r="B110" s="2"/>
      <c r="C110" s="2"/>
      <c r="D110" s="2"/>
    </row>
    <row r="111" ht="15.75" customHeight="1">
      <c r="A111" s="2"/>
      <c r="B111" s="2"/>
      <c r="C111" s="2"/>
      <c r="D111" s="2"/>
    </row>
    <row r="112" ht="15.75" customHeight="1">
      <c r="A112" s="2"/>
      <c r="B112" s="2"/>
      <c r="C112" s="2"/>
      <c r="D112" s="2"/>
    </row>
    <row r="113" ht="15.75" customHeight="1">
      <c r="A113" s="2"/>
      <c r="B113" s="2"/>
      <c r="C113" s="2"/>
      <c r="D113" s="2"/>
    </row>
    <row r="114" ht="15.75" customHeight="1">
      <c r="A114" s="2"/>
      <c r="B114" s="2"/>
      <c r="C114" s="2"/>
      <c r="D114" s="2"/>
    </row>
    <row r="115" ht="15.75" customHeight="1">
      <c r="A115" s="2"/>
      <c r="B115" s="2"/>
      <c r="C115" s="2"/>
      <c r="D115" s="2"/>
    </row>
    <row r="116" ht="15.75" customHeight="1">
      <c r="A116" s="2"/>
      <c r="B116" s="2"/>
      <c r="C116" s="2"/>
      <c r="D116" s="2"/>
    </row>
    <row r="117" ht="15.75" customHeight="1">
      <c r="A117" s="2"/>
      <c r="B117" s="2"/>
      <c r="C117" s="2"/>
      <c r="D117" s="2"/>
    </row>
    <row r="118" ht="15.75" customHeight="1">
      <c r="A118" s="2"/>
      <c r="B118" s="2"/>
      <c r="C118" s="2"/>
      <c r="D118" s="2"/>
    </row>
    <row r="119" ht="15.75" customHeight="1">
      <c r="A119" s="2"/>
      <c r="B119" s="2"/>
      <c r="C119" s="2"/>
      <c r="D119" s="2"/>
    </row>
    <row r="120" ht="15.75" customHeight="1">
      <c r="A120" s="2"/>
      <c r="B120" s="2"/>
      <c r="C120" s="2"/>
      <c r="D120" s="2"/>
    </row>
    <row r="121" ht="15.75" customHeight="1">
      <c r="A121" s="2"/>
      <c r="B121" s="2"/>
      <c r="C121" s="2"/>
      <c r="D121" s="2"/>
    </row>
    <row r="122" ht="15.75" customHeight="1">
      <c r="A122" s="2"/>
      <c r="B122" s="2"/>
      <c r="C122" s="2"/>
      <c r="D122" s="2"/>
    </row>
    <row r="123" ht="15.75" customHeight="1">
      <c r="A123" s="2"/>
      <c r="B123" s="2"/>
      <c r="C123" s="2"/>
      <c r="D123" s="2"/>
    </row>
    <row r="124" ht="15.75" customHeight="1">
      <c r="A124" s="2"/>
      <c r="B124" s="2"/>
      <c r="C124" s="2"/>
      <c r="D124" s="2"/>
    </row>
    <row r="125" ht="15.75" customHeight="1">
      <c r="A125" s="2"/>
      <c r="B125" s="2"/>
      <c r="C125" s="2"/>
      <c r="D125" s="2"/>
    </row>
    <row r="126" ht="15.75" customHeight="1">
      <c r="A126" s="2"/>
      <c r="B126" s="2"/>
      <c r="C126" s="2"/>
      <c r="D126" s="2"/>
    </row>
    <row r="127" ht="15.75" customHeight="1">
      <c r="A127" s="2"/>
      <c r="B127" s="2"/>
      <c r="C127" s="2"/>
      <c r="D127" s="2"/>
    </row>
    <row r="128" ht="15.75" customHeight="1">
      <c r="A128" s="2"/>
      <c r="B128" s="2"/>
      <c r="C128" s="2"/>
      <c r="D128" s="2"/>
    </row>
    <row r="129" ht="15.75" customHeight="1">
      <c r="A129" s="2"/>
      <c r="B129" s="2"/>
      <c r="C129" s="2"/>
      <c r="D129" s="2"/>
    </row>
    <row r="130" ht="15.75" customHeight="1">
      <c r="A130" s="2"/>
      <c r="B130" s="2"/>
      <c r="C130" s="2"/>
      <c r="D130" s="2"/>
    </row>
    <row r="131" ht="15.75" customHeight="1">
      <c r="A131" s="2"/>
      <c r="B131" s="2"/>
      <c r="C131" s="2"/>
      <c r="D131" s="2"/>
    </row>
    <row r="132" ht="15.75" customHeight="1">
      <c r="A132" s="2"/>
      <c r="B132" s="2"/>
      <c r="C132" s="2"/>
      <c r="D132" s="2"/>
    </row>
    <row r="133" ht="15.75" customHeight="1">
      <c r="A133" s="2"/>
      <c r="B133" s="2"/>
      <c r="C133" s="2"/>
      <c r="D133" s="2"/>
    </row>
    <row r="134" ht="15.75" customHeight="1">
      <c r="A134" s="2"/>
      <c r="B134" s="2"/>
      <c r="C134" s="2"/>
      <c r="D134" s="2"/>
    </row>
    <row r="135" ht="15.75" customHeight="1">
      <c r="A135" s="2"/>
      <c r="B135" s="2"/>
      <c r="C135" s="2"/>
      <c r="D135" s="2"/>
    </row>
    <row r="136" ht="15.75" customHeight="1">
      <c r="A136" s="2"/>
      <c r="B136" s="2"/>
      <c r="C136" s="2"/>
      <c r="D136" s="2"/>
    </row>
    <row r="137" ht="15.75" customHeight="1">
      <c r="A137" s="2"/>
      <c r="B137" s="2"/>
      <c r="C137" s="2"/>
      <c r="D137" s="2"/>
    </row>
    <row r="138" ht="15.75" customHeight="1">
      <c r="A138" s="2"/>
      <c r="B138" s="2"/>
      <c r="C138" s="2"/>
      <c r="D138" s="2"/>
    </row>
    <row r="139" ht="15.75" customHeight="1">
      <c r="A139" s="2"/>
      <c r="B139" s="2"/>
      <c r="C139" s="2"/>
      <c r="D139" s="2"/>
    </row>
    <row r="140" ht="15.75" customHeight="1">
      <c r="A140" s="2"/>
      <c r="B140" s="2"/>
      <c r="C140" s="2"/>
      <c r="D140" s="2"/>
    </row>
    <row r="141" ht="15.75" customHeight="1">
      <c r="A141" s="2"/>
      <c r="B141" s="2"/>
      <c r="C141" s="2"/>
      <c r="D141" s="2"/>
    </row>
    <row r="142" ht="15.75" customHeight="1">
      <c r="A142" s="2"/>
      <c r="B142" s="2"/>
      <c r="C142" s="2"/>
      <c r="D142" s="2"/>
    </row>
    <row r="143" ht="15.75" customHeight="1">
      <c r="A143" s="2"/>
      <c r="B143" s="2"/>
      <c r="C143" s="2"/>
      <c r="D143" s="2"/>
    </row>
    <row r="144" ht="15.75" customHeight="1">
      <c r="A144" s="2"/>
      <c r="B144" s="2"/>
      <c r="C144" s="2"/>
      <c r="D144" s="2"/>
    </row>
    <row r="145" ht="15.75" customHeight="1">
      <c r="A145" s="2"/>
      <c r="B145" s="2"/>
      <c r="C145" s="2"/>
      <c r="D145" s="2"/>
    </row>
    <row r="146" ht="15.75" customHeight="1">
      <c r="A146" s="2"/>
      <c r="B146" s="2"/>
      <c r="C146" s="2"/>
      <c r="D146" s="2"/>
    </row>
    <row r="147" ht="15.75" customHeight="1">
      <c r="A147" s="2"/>
      <c r="B147" s="2"/>
      <c r="C147" s="2"/>
      <c r="D147" s="2"/>
    </row>
    <row r="148" ht="15.75" customHeight="1">
      <c r="A148" s="2"/>
      <c r="B148" s="2"/>
      <c r="C148" s="2"/>
      <c r="D148" s="2"/>
    </row>
    <row r="149" ht="15.75" customHeight="1">
      <c r="A149" s="2"/>
      <c r="B149" s="2"/>
      <c r="C149" s="2"/>
      <c r="D149" s="2"/>
    </row>
    <row r="150" ht="15.75" customHeight="1">
      <c r="A150" s="2"/>
      <c r="B150" s="2"/>
      <c r="C150" s="2"/>
      <c r="D150" s="2"/>
    </row>
    <row r="151" ht="15.75" customHeight="1">
      <c r="A151" s="2"/>
      <c r="B151" s="2"/>
      <c r="C151" s="2"/>
      <c r="D151" s="2"/>
    </row>
    <row r="152" ht="15.75" customHeight="1">
      <c r="A152" s="2"/>
      <c r="B152" s="2"/>
      <c r="C152" s="2"/>
      <c r="D152" s="2"/>
    </row>
    <row r="153" ht="15.75" customHeight="1">
      <c r="A153" s="2"/>
      <c r="B153" s="2"/>
      <c r="C153" s="2"/>
      <c r="D153" s="2"/>
    </row>
    <row r="154" ht="15.75" customHeight="1">
      <c r="A154" s="2"/>
      <c r="B154" s="2"/>
      <c r="C154" s="2"/>
      <c r="D154" s="2"/>
    </row>
    <row r="155" ht="15.75" customHeight="1">
      <c r="A155" s="2"/>
      <c r="B155" s="2"/>
      <c r="C155" s="2"/>
      <c r="D155" s="2"/>
    </row>
    <row r="156" ht="15.75" customHeight="1">
      <c r="A156" s="2"/>
      <c r="B156" s="2"/>
      <c r="C156" s="2"/>
      <c r="D156" s="2"/>
    </row>
    <row r="157" ht="15.75" customHeight="1">
      <c r="A157" s="2"/>
      <c r="B157" s="2"/>
      <c r="C157" s="2"/>
      <c r="D157" s="2"/>
    </row>
    <row r="158" ht="15.75" customHeight="1">
      <c r="A158" s="2"/>
      <c r="B158" s="2"/>
      <c r="C158" s="2"/>
      <c r="D158" s="2"/>
    </row>
    <row r="159" ht="15.75" customHeight="1">
      <c r="A159" s="2"/>
      <c r="B159" s="2"/>
      <c r="C159" s="2"/>
      <c r="D159" s="2"/>
    </row>
    <row r="160" ht="15.75" customHeight="1">
      <c r="A160" s="2"/>
      <c r="B160" s="2"/>
      <c r="C160" s="2"/>
      <c r="D160" s="2"/>
    </row>
    <row r="161" ht="15.75" customHeight="1">
      <c r="A161" s="2"/>
      <c r="B161" s="2"/>
      <c r="C161" s="2"/>
      <c r="D161" s="2"/>
    </row>
    <row r="162" ht="15.75" customHeight="1">
      <c r="A162" s="2"/>
      <c r="B162" s="2"/>
      <c r="C162" s="2"/>
      <c r="D162" s="2"/>
    </row>
    <row r="163" ht="15.75" customHeight="1">
      <c r="A163" s="2"/>
      <c r="B163" s="2"/>
      <c r="C163" s="2"/>
      <c r="D163" s="2"/>
    </row>
    <row r="164" ht="15.75" customHeight="1">
      <c r="A164" s="2"/>
      <c r="B164" s="2"/>
      <c r="C164" s="2"/>
      <c r="D164" s="2"/>
    </row>
    <row r="165" ht="15.75" customHeight="1">
      <c r="A165" s="2"/>
      <c r="B165" s="2"/>
      <c r="C165" s="2"/>
      <c r="D165" s="2"/>
    </row>
    <row r="166" ht="15.75" customHeight="1">
      <c r="A166" s="2"/>
      <c r="B166" s="2"/>
      <c r="C166" s="2"/>
      <c r="D166" s="2"/>
    </row>
    <row r="167" ht="15.75" customHeight="1">
      <c r="A167" s="2"/>
      <c r="B167" s="2"/>
      <c r="C167" s="2"/>
      <c r="D167" s="2"/>
    </row>
    <row r="168" ht="15.75" customHeight="1">
      <c r="A168" s="2"/>
      <c r="B168" s="2"/>
      <c r="C168" s="2"/>
      <c r="D168" s="2"/>
    </row>
    <row r="169" ht="15.75" customHeight="1">
      <c r="A169" s="2"/>
      <c r="B169" s="2"/>
      <c r="C169" s="2"/>
      <c r="D169" s="2"/>
    </row>
    <row r="170" ht="15.75" customHeight="1">
      <c r="A170" s="2"/>
      <c r="B170" s="2"/>
      <c r="C170" s="2"/>
      <c r="D170" s="2"/>
    </row>
    <row r="171" ht="15.75" customHeight="1">
      <c r="A171" s="2"/>
      <c r="B171" s="2"/>
      <c r="C171" s="2"/>
      <c r="D171" s="2"/>
    </row>
    <row r="172" ht="15.75" customHeight="1">
      <c r="A172" s="2"/>
      <c r="B172" s="2"/>
      <c r="C172" s="2"/>
      <c r="D172" s="2"/>
    </row>
    <row r="173" ht="15.75" customHeight="1">
      <c r="A173" s="2"/>
      <c r="B173" s="2"/>
      <c r="C173" s="2"/>
      <c r="D173" s="2"/>
    </row>
    <row r="174" ht="15.75" customHeight="1">
      <c r="A174" s="2"/>
      <c r="B174" s="2"/>
      <c r="C174" s="2"/>
      <c r="D174" s="2"/>
    </row>
    <row r="175" ht="15.75" customHeight="1">
      <c r="A175" s="2"/>
      <c r="B175" s="2"/>
      <c r="C175" s="2"/>
      <c r="D175" s="2"/>
    </row>
    <row r="176" ht="15.75" customHeight="1">
      <c r="A176" s="2"/>
      <c r="B176" s="2"/>
      <c r="C176" s="2"/>
      <c r="D176" s="2"/>
    </row>
    <row r="177" ht="15.75" customHeight="1">
      <c r="A177" s="2"/>
      <c r="B177" s="2"/>
      <c r="C177" s="2"/>
      <c r="D177" s="2"/>
    </row>
    <row r="178" ht="15.75" customHeight="1">
      <c r="A178" s="2"/>
      <c r="B178" s="2"/>
      <c r="C178" s="2"/>
      <c r="D178" s="2"/>
    </row>
    <row r="179" ht="15.75" customHeight="1">
      <c r="A179" s="2"/>
      <c r="B179" s="2"/>
      <c r="C179" s="2"/>
      <c r="D179" s="2"/>
    </row>
    <row r="180" ht="15.75" customHeight="1">
      <c r="A180" s="2"/>
      <c r="B180" s="2"/>
      <c r="C180" s="2"/>
      <c r="D180" s="2"/>
    </row>
    <row r="181" ht="15.75" customHeight="1">
      <c r="A181" s="2"/>
      <c r="B181" s="2"/>
      <c r="C181" s="2"/>
      <c r="D181" s="2"/>
    </row>
    <row r="182" ht="15.75" customHeight="1">
      <c r="A182" s="2"/>
      <c r="B182" s="2"/>
      <c r="C182" s="2"/>
      <c r="D182" s="2"/>
    </row>
    <row r="183" ht="15.75" customHeight="1">
      <c r="A183" s="2"/>
      <c r="B183" s="2"/>
      <c r="C183" s="2"/>
      <c r="D183" s="2"/>
    </row>
    <row r="184" ht="15.75" customHeight="1">
      <c r="A184" s="2"/>
      <c r="B184" s="2"/>
      <c r="C184" s="2"/>
      <c r="D184" s="2"/>
    </row>
    <row r="185" ht="15.75" customHeight="1">
      <c r="A185" s="2"/>
      <c r="B185" s="2"/>
      <c r="C185" s="2"/>
      <c r="D185" s="2"/>
    </row>
    <row r="186" ht="15.75" customHeight="1">
      <c r="A186" s="2"/>
      <c r="B186" s="2"/>
      <c r="C186" s="2"/>
      <c r="D186" s="2"/>
    </row>
    <row r="187" ht="15.75" customHeight="1">
      <c r="A187" s="2"/>
      <c r="B187" s="2"/>
      <c r="C187" s="2"/>
      <c r="D187" s="2"/>
    </row>
    <row r="188" ht="15.75" customHeight="1">
      <c r="A188" s="2"/>
      <c r="B188" s="2"/>
      <c r="C188" s="2"/>
      <c r="D188" s="2"/>
    </row>
    <row r="189" ht="15.75" customHeight="1">
      <c r="A189" s="2"/>
      <c r="B189" s="2"/>
      <c r="C189" s="2"/>
      <c r="D189" s="2"/>
    </row>
    <row r="190" ht="15.75" customHeight="1">
      <c r="A190" s="2"/>
      <c r="B190" s="2"/>
      <c r="C190" s="2"/>
      <c r="D190" s="2"/>
    </row>
    <row r="191" ht="15.75" customHeight="1">
      <c r="A191" s="2"/>
      <c r="B191" s="2"/>
      <c r="C191" s="2"/>
      <c r="D191" s="2"/>
    </row>
    <row r="192" ht="15.75" customHeight="1">
      <c r="A192" s="2"/>
      <c r="B192" s="2"/>
      <c r="C192" s="2"/>
      <c r="D192" s="2"/>
    </row>
    <row r="193" ht="15.75" customHeight="1">
      <c r="A193" s="2"/>
      <c r="B193" s="2"/>
      <c r="C193" s="2"/>
      <c r="D193" s="2"/>
    </row>
    <row r="194" ht="15.75" customHeight="1">
      <c r="A194" s="2"/>
      <c r="B194" s="2"/>
      <c r="C194" s="2"/>
      <c r="D194" s="2"/>
    </row>
    <row r="195" ht="15.75" customHeight="1">
      <c r="A195" s="2"/>
      <c r="B195" s="2"/>
      <c r="C195" s="2"/>
      <c r="D195" s="2"/>
    </row>
    <row r="196" ht="15.75" customHeight="1">
      <c r="A196" s="2"/>
      <c r="B196" s="2"/>
      <c r="C196" s="2"/>
      <c r="D196" s="2"/>
    </row>
    <row r="197" ht="15.75" customHeight="1">
      <c r="A197" s="2"/>
      <c r="B197" s="2"/>
      <c r="C197" s="2"/>
      <c r="D197" s="2"/>
    </row>
    <row r="198" ht="15.75" customHeight="1">
      <c r="A198" s="2"/>
      <c r="B198" s="2"/>
      <c r="C198" s="2"/>
      <c r="D198" s="2"/>
    </row>
    <row r="199" ht="15.75" customHeight="1">
      <c r="A199" s="2"/>
      <c r="B199" s="2"/>
      <c r="C199" s="2"/>
      <c r="D199" s="2"/>
    </row>
    <row r="200" ht="15.75" customHeight="1">
      <c r="A200" s="2"/>
      <c r="B200" s="2"/>
      <c r="C200" s="2"/>
      <c r="D200" s="2"/>
    </row>
    <row r="201" ht="15.75" customHeight="1">
      <c r="A201" s="2"/>
      <c r="B201" s="2"/>
      <c r="C201" s="2"/>
      <c r="D201" s="2"/>
    </row>
    <row r="202" ht="15.75" customHeight="1">
      <c r="A202" s="2"/>
      <c r="B202" s="2"/>
      <c r="C202" s="2"/>
      <c r="D202" s="2"/>
    </row>
    <row r="203" ht="15.75" customHeight="1">
      <c r="A203" s="2"/>
      <c r="B203" s="2"/>
      <c r="C203" s="2"/>
      <c r="D203" s="2"/>
    </row>
    <row r="204" ht="15.75" customHeight="1">
      <c r="A204" s="2"/>
      <c r="B204" s="2"/>
      <c r="C204" s="2"/>
      <c r="D204" s="2"/>
    </row>
    <row r="205" ht="15.75" customHeight="1">
      <c r="A205" s="2"/>
      <c r="B205" s="2"/>
      <c r="C205" s="2"/>
      <c r="D205" s="2"/>
    </row>
    <row r="206" ht="15.75" customHeight="1">
      <c r="A206" s="2"/>
      <c r="B206" s="2"/>
      <c r="C206" s="2"/>
      <c r="D206" s="2"/>
    </row>
    <row r="207" ht="15.75" customHeight="1">
      <c r="A207" s="2"/>
      <c r="B207" s="2"/>
      <c r="C207" s="2"/>
      <c r="D207" s="2"/>
    </row>
    <row r="208" ht="15.75" customHeight="1">
      <c r="A208" s="2"/>
      <c r="B208" s="2"/>
      <c r="C208" s="2"/>
      <c r="D208" s="2"/>
    </row>
    <row r="209" ht="15.75" customHeight="1">
      <c r="A209" s="2"/>
      <c r="B209" s="2"/>
      <c r="C209" s="2"/>
      <c r="D209" s="2"/>
    </row>
    <row r="210" ht="15.75" customHeight="1">
      <c r="A210" s="2"/>
      <c r="B210" s="2"/>
      <c r="C210" s="2"/>
      <c r="D210" s="2"/>
    </row>
    <row r="211" ht="15.75" customHeight="1">
      <c r="A211" s="2"/>
      <c r="B211" s="2"/>
      <c r="C211" s="2"/>
      <c r="D211" s="2"/>
    </row>
    <row r="212" ht="15.75" customHeight="1">
      <c r="A212" s="2"/>
      <c r="B212" s="2"/>
      <c r="C212" s="2"/>
      <c r="D212" s="2"/>
    </row>
    <row r="213" ht="15.75" customHeight="1">
      <c r="A213" s="2"/>
      <c r="B213" s="2"/>
      <c r="C213" s="2"/>
      <c r="D213" s="2"/>
    </row>
    <row r="214" ht="15.75" customHeight="1">
      <c r="A214" s="2"/>
      <c r="B214" s="2"/>
      <c r="C214" s="2"/>
      <c r="D214" s="2"/>
    </row>
    <row r="215" ht="15.75" customHeight="1">
      <c r="A215" s="2"/>
      <c r="B215" s="2"/>
      <c r="C215" s="2"/>
      <c r="D215" s="2"/>
    </row>
    <row r="216" ht="15.75" customHeight="1">
      <c r="A216" s="2"/>
      <c r="B216" s="2"/>
      <c r="C216" s="2"/>
      <c r="D216" s="2"/>
    </row>
    <row r="217" ht="15.75" customHeight="1">
      <c r="A217" s="2"/>
      <c r="B217" s="2"/>
      <c r="C217" s="2"/>
      <c r="D217" s="2"/>
    </row>
    <row r="218" ht="15.75" customHeight="1">
      <c r="A218" s="2"/>
      <c r="B218" s="2"/>
      <c r="C218" s="2"/>
      <c r="D218" s="2"/>
    </row>
    <row r="219" ht="15.75" customHeight="1">
      <c r="A219" s="2"/>
      <c r="B219" s="2"/>
      <c r="C219" s="2"/>
      <c r="D219" s="2"/>
    </row>
    <row r="220" ht="15.75" customHeight="1">
      <c r="A220" s="2"/>
      <c r="B220" s="2"/>
      <c r="C220" s="2"/>
      <c r="D220" s="2"/>
    </row>
    <row r="221" ht="15.75" customHeight="1">
      <c r="A221" s="2"/>
      <c r="B221" s="2"/>
      <c r="C221" s="2"/>
      <c r="D221" s="2"/>
    </row>
    <row r="222" ht="15.75" customHeight="1">
      <c r="A222" s="2"/>
      <c r="B222" s="2"/>
      <c r="C222" s="2"/>
      <c r="D222" s="2"/>
    </row>
    <row r="223" ht="15.75" customHeight="1">
      <c r="A223" s="2"/>
      <c r="B223" s="2"/>
      <c r="C223" s="2"/>
      <c r="D223" s="2"/>
    </row>
    <row r="224" ht="15.75" customHeight="1">
      <c r="A224" s="2"/>
      <c r="B224" s="2"/>
      <c r="C224" s="2"/>
      <c r="D224" s="2"/>
    </row>
    <row r="225" ht="15.75" customHeight="1">
      <c r="A225" s="2"/>
      <c r="B225" s="2"/>
      <c r="C225" s="2"/>
      <c r="D225" s="2"/>
    </row>
    <row r="226" ht="15.75" customHeight="1">
      <c r="A226" s="2"/>
      <c r="B226" s="2"/>
      <c r="C226" s="2"/>
      <c r="D226" s="2"/>
    </row>
    <row r="227" ht="15.75" customHeight="1">
      <c r="A227" s="2"/>
      <c r="B227" s="2"/>
      <c r="C227" s="2"/>
      <c r="D227" s="2"/>
    </row>
    <row r="228" ht="15.75" customHeight="1">
      <c r="A228" s="2"/>
      <c r="B228" s="2"/>
      <c r="C228" s="2"/>
      <c r="D228" s="2"/>
    </row>
    <row r="229" ht="15.75" customHeight="1">
      <c r="A229" s="2"/>
      <c r="B229" s="2"/>
      <c r="C229" s="2"/>
      <c r="D229" s="2"/>
    </row>
    <row r="230" ht="15.75" customHeight="1">
      <c r="A230" s="2"/>
      <c r="B230" s="2"/>
      <c r="C230" s="2"/>
      <c r="D230" s="2"/>
    </row>
    <row r="231" ht="15.75" customHeight="1">
      <c r="A231" s="2"/>
      <c r="B231" s="2"/>
      <c r="C231" s="2"/>
      <c r="D231" s="2"/>
    </row>
    <row r="232" ht="15.75" customHeight="1">
      <c r="A232" s="2"/>
      <c r="B232" s="2"/>
      <c r="C232" s="2"/>
      <c r="D232" s="2"/>
    </row>
    <row r="233" ht="15.75" customHeight="1">
      <c r="A233" s="2"/>
      <c r="B233" s="2"/>
      <c r="C233" s="2"/>
      <c r="D233" s="2"/>
    </row>
    <row r="234" ht="15.75" customHeight="1">
      <c r="A234" s="2"/>
      <c r="B234" s="2"/>
      <c r="C234" s="2"/>
      <c r="D234" s="2"/>
    </row>
    <row r="235" ht="15.75" customHeight="1">
      <c r="A235" s="2"/>
      <c r="B235" s="2"/>
      <c r="C235" s="2"/>
      <c r="D235" s="2"/>
    </row>
    <row r="236" ht="15.75" customHeight="1">
      <c r="A236" s="2"/>
      <c r="B236" s="2"/>
      <c r="C236" s="2"/>
      <c r="D236" s="2"/>
    </row>
    <row r="237" ht="15.75" customHeight="1">
      <c r="A237" s="2"/>
      <c r="B237" s="2"/>
      <c r="C237" s="2"/>
      <c r="D237" s="2"/>
    </row>
    <row r="238" ht="15.75" customHeight="1">
      <c r="A238" s="2"/>
      <c r="B238" s="2"/>
      <c r="C238" s="2"/>
      <c r="D238" s="2"/>
    </row>
    <row r="239" ht="15.75" customHeight="1">
      <c r="A239" s="2"/>
      <c r="B239" s="2"/>
      <c r="C239" s="2"/>
      <c r="D239" s="2"/>
    </row>
    <row r="240" ht="15.75" customHeight="1">
      <c r="A240" s="2"/>
      <c r="B240" s="2"/>
      <c r="C240" s="2"/>
      <c r="D240" s="2"/>
    </row>
    <row r="241" ht="15.75" customHeight="1">
      <c r="A241" s="2"/>
      <c r="B241" s="2"/>
      <c r="C241" s="2"/>
      <c r="D241" s="2"/>
    </row>
    <row r="242" ht="15.75" customHeight="1">
      <c r="A242" s="2"/>
      <c r="B242" s="2"/>
      <c r="C242" s="2"/>
      <c r="D242" s="2"/>
    </row>
    <row r="243" ht="15.75" customHeight="1">
      <c r="A243" s="2"/>
      <c r="B243" s="2"/>
      <c r="C243" s="2"/>
      <c r="D243" s="2"/>
    </row>
    <row r="244" ht="15.75" customHeight="1">
      <c r="A244" s="2"/>
      <c r="B244" s="2"/>
      <c r="C244" s="2"/>
      <c r="D244" s="2"/>
    </row>
    <row r="245" ht="15.75" customHeight="1">
      <c r="A245" s="2"/>
      <c r="B245" s="2"/>
      <c r="C245" s="2"/>
      <c r="D245" s="2"/>
    </row>
    <row r="246" ht="15.75" customHeight="1">
      <c r="A246" s="2"/>
      <c r="B246" s="2"/>
      <c r="C246" s="2"/>
      <c r="D246" s="2"/>
    </row>
    <row r="247" ht="15.75" customHeight="1">
      <c r="A247" s="2"/>
      <c r="B247" s="2"/>
      <c r="C247" s="2"/>
      <c r="D247" s="2"/>
    </row>
    <row r="248" ht="15.75" customHeight="1">
      <c r="A248" s="2"/>
      <c r="B248" s="2"/>
      <c r="C248" s="2"/>
      <c r="D248" s="2"/>
    </row>
    <row r="249" ht="15.75" customHeight="1">
      <c r="A249" s="2"/>
      <c r="B249" s="2"/>
      <c r="C249" s="2"/>
      <c r="D249" s="2"/>
    </row>
    <row r="250" ht="15.75" customHeight="1">
      <c r="A250" s="2"/>
      <c r="B250" s="2"/>
      <c r="C250" s="2"/>
      <c r="D250" s="2"/>
    </row>
    <row r="251" ht="15.75" customHeight="1">
      <c r="A251" s="2"/>
      <c r="B251" s="2"/>
      <c r="C251" s="2"/>
      <c r="D251" s="2"/>
    </row>
    <row r="252" ht="15.75" customHeight="1">
      <c r="A252" s="2"/>
      <c r="B252" s="2"/>
      <c r="C252" s="2"/>
      <c r="D252" s="2"/>
    </row>
    <row r="253" ht="15.75" customHeight="1">
      <c r="A253" s="2"/>
      <c r="B253" s="2"/>
      <c r="C253" s="2"/>
      <c r="D253" s="2"/>
    </row>
    <row r="254" ht="15.75" customHeight="1">
      <c r="A254" s="2"/>
      <c r="B254" s="2"/>
      <c r="C254" s="2"/>
      <c r="D254" s="2"/>
    </row>
    <row r="255" ht="15.75" customHeight="1">
      <c r="A255" s="2"/>
      <c r="B255" s="2"/>
      <c r="C255" s="2"/>
      <c r="D255" s="2"/>
    </row>
    <row r="256" ht="15.75" customHeight="1">
      <c r="A256" s="2"/>
      <c r="B256" s="2"/>
      <c r="C256" s="2"/>
      <c r="D256" s="2"/>
    </row>
    <row r="257" ht="15.75" customHeight="1">
      <c r="A257" s="2"/>
      <c r="B257" s="2"/>
      <c r="C257" s="2"/>
      <c r="D257" s="2"/>
    </row>
    <row r="258" ht="15.75" customHeight="1">
      <c r="A258" s="2"/>
      <c r="B258" s="2"/>
      <c r="C258" s="2"/>
      <c r="D258" s="2"/>
    </row>
    <row r="259" ht="15.75" customHeight="1">
      <c r="A259" s="2"/>
      <c r="B259" s="2"/>
      <c r="C259" s="2"/>
      <c r="D259" s="2"/>
    </row>
    <row r="260" ht="15.75" customHeight="1">
      <c r="A260" s="2"/>
      <c r="B260" s="2"/>
      <c r="C260" s="2"/>
      <c r="D260" s="2"/>
    </row>
    <row r="261" ht="15.75" customHeight="1">
      <c r="A261" s="2"/>
      <c r="B261" s="2"/>
      <c r="C261" s="2"/>
      <c r="D261" s="2"/>
    </row>
    <row r="262" ht="15.75" customHeight="1">
      <c r="A262" s="2"/>
      <c r="B262" s="2"/>
      <c r="C262" s="2"/>
      <c r="D262" s="2"/>
    </row>
    <row r="263" ht="15.75" customHeight="1">
      <c r="A263" s="2"/>
      <c r="B263" s="2"/>
      <c r="C263" s="2"/>
      <c r="D263" s="2"/>
    </row>
    <row r="264" ht="15.75" customHeight="1">
      <c r="A264" s="2"/>
      <c r="B264" s="2"/>
      <c r="C264" s="2"/>
      <c r="D264" s="2"/>
    </row>
    <row r="265" ht="15.75" customHeight="1">
      <c r="A265" s="2"/>
      <c r="B265" s="2"/>
      <c r="C265" s="2"/>
      <c r="D265" s="2"/>
    </row>
    <row r="266" ht="15.75" customHeight="1">
      <c r="A266" s="2"/>
      <c r="B266" s="2"/>
      <c r="C266" s="2"/>
      <c r="D266" s="2"/>
    </row>
    <row r="267" ht="15.75" customHeight="1">
      <c r="A267" s="2"/>
      <c r="B267" s="2"/>
      <c r="C267" s="2"/>
      <c r="D267" s="2"/>
    </row>
    <row r="268" ht="15.75" customHeight="1">
      <c r="A268" s="2"/>
      <c r="B268" s="2"/>
      <c r="C268" s="2"/>
      <c r="D268" s="2"/>
    </row>
    <row r="269" ht="15.75" customHeight="1">
      <c r="A269" s="2"/>
      <c r="B269" s="2"/>
      <c r="C269" s="2"/>
      <c r="D269" s="2"/>
    </row>
    <row r="270" ht="15.75" customHeight="1">
      <c r="A270" s="2"/>
      <c r="B270" s="2"/>
      <c r="C270" s="2"/>
      <c r="D270" s="2"/>
    </row>
    <row r="271" ht="15.75" customHeight="1">
      <c r="A271" s="2"/>
      <c r="B271" s="2"/>
      <c r="C271" s="2"/>
      <c r="D271" s="2"/>
    </row>
    <row r="272" ht="15.75" customHeight="1">
      <c r="A272" s="2"/>
      <c r="B272" s="2"/>
      <c r="C272" s="2"/>
      <c r="D272" s="2"/>
    </row>
    <row r="273" ht="15.75" customHeight="1">
      <c r="A273" s="2"/>
      <c r="B273" s="2"/>
      <c r="C273" s="2"/>
      <c r="D273" s="2"/>
    </row>
    <row r="274" ht="15.75" customHeight="1">
      <c r="A274" s="2"/>
      <c r="B274" s="2"/>
      <c r="C274" s="2"/>
      <c r="D274" s="2"/>
    </row>
    <row r="275" ht="15.75" customHeight="1">
      <c r="A275" s="2"/>
      <c r="B275" s="2"/>
      <c r="C275" s="2"/>
      <c r="D275" s="2"/>
    </row>
    <row r="276" ht="15.75" customHeight="1">
      <c r="A276" s="2"/>
      <c r="B276" s="2"/>
      <c r="C276" s="2"/>
      <c r="D276" s="2"/>
    </row>
    <row r="277" ht="15.75" customHeight="1">
      <c r="A277" s="2"/>
      <c r="B277" s="2"/>
      <c r="C277" s="2"/>
      <c r="D277" s="2"/>
    </row>
    <row r="278" ht="15.75" customHeight="1">
      <c r="A278" s="2"/>
      <c r="B278" s="2"/>
      <c r="C278" s="2"/>
      <c r="D278" s="2"/>
    </row>
    <row r="279" ht="15.75" customHeight="1">
      <c r="A279" s="2"/>
      <c r="B279" s="2"/>
      <c r="C279" s="2"/>
      <c r="D279" s="2"/>
    </row>
    <row r="280" ht="15.75" customHeight="1">
      <c r="A280" s="2"/>
      <c r="B280" s="2"/>
      <c r="C280" s="2"/>
      <c r="D280" s="2"/>
    </row>
    <row r="281" ht="15.75" customHeight="1">
      <c r="A281" s="2"/>
      <c r="B281" s="2"/>
      <c r="C281" s="2"/>
      <c r="D281" s="2"/>
    </row>
    <row r="282" ht="15.75" customHeight="1">
      <c r="A282" s="2"/>
      <c r="B282" s="2"/>
      <c r="C282" s="2"/>
      <c r="D282" s="2"/>
    </row>
    <row r="283" ht="15.75" customHeight="1">
      <c r="A283" s="2"/>
      <c r="B283" s="2"/>
      <c r="C283" s="2"/>
      <c r="D283" s="2"/>
    </row>
    <row r="284" ht="15.75" customHeight="1">
      <c r="A284" s="2"/>
      <c r="B284" s="2"/>
      <c r="C284" s="2"/>
      <c r="D284" s="2"/>
    </row>
    <row r="285" ht="15.75" customHeight="1">
      <c r="A285" s="2"/>
      <c r="B285" s="2"/>
      <c r="C285" s="2"/>
      <c r="D285" s="2"/>
    </row>
    <row r="286" ht="15.75" customHeight="1">
      <c r="A286" s="2"/>
      <c r="B286" s="2"/>
      <c r="C286" s="2"/>
      <c r="D286" s="2"/>
    </row>
    <row r="287" ht="15.75" customHeight="1">
      <c r="A287" s="2"/>
      <c r="B287" s="2"/>
      <c r="C287" s="2"/>
      <c r="D287" s="2"/>
    </row>
    <row r="288" ht="15.75" customHeight="1">
      <c r="A288" s="2"/>
      <c r="B288" s="2"/>
      <c r="C288" s="2"/>
      <c r="D288" s="2"/>
    </row>
    <row r="289" ht="15.75" customHeight="1">
      <c r="A289" s="2"/>
      <c r="B289" s="2"/>
      <c r="C289" s="2"/>
      <c r="D289" s="2"/>
    </row>
    <row r="290" ht="15.75" customHeight="1">
      <c r="A290" s="2"/>
      <c r="B290" s="2"/>
      <c r="C290" s="2"/>
      <c r="D290" s="2"/>
    </row>
    <row r="291" ht="15.75" customHeight="1">
      <c r="A291" s="2"/>
      <c r="B291" s="2"/>
      <c r="C291" s="2"/>
      <c r="D291" s="2"/>
    </row>
    <row r="292" ht="15.75" customHeight="1">
      <c r="A292" s="2"/>
      <c r="B292" s="2"/>
      <c r="C292" s="2"/>
      <c r="D292" s="2"/>
    </row>
    <row r="293" ht="15.75" customHeight="1">
      <c r="A293" s="2"/>
      <c r="B293" s="2"/>
      <c r="C293" s="2"/>
      <c r="D293" s="2"/>
    </row>
    <row r="294" ht="15.75" customHeight="1">
      <c r="A294" s="2"/>
      <c r="B294" s="2"/>
      <c r="C294" s="2"/>
      <c r="D294" s="2"/>
    </row>
    <row r="295" ht="15.75" customHeight="1">
      <c r="A295" s="2"/>
      <c r="B295" s="2"/>
      <c r="C295" s="2"/>
      <c r="D295" s="2"/>
    </row>
    <row r="296" ht="15.75" customHeight="1">
      <c r="A296" s="2"/>
      <c r="B296" s="2"/>
      <c r="C296" s="2"/>
      <c r="D296" s="2"/>
    </row>
    <row r="297" ht="15.75" customHeight="1">
      <c r="A297" s="2"/>
      <c r="B297" s="2"/>
      <c r="C297" s="2"/>
      <c r="D297" s="2"/>
    </row>
    <row r="298" ht="15.75" customHeight="1">
      <c r="A298" s="2"/>
      <c r="B298" s="2"/>
      <c r="C298" s="2"/>
      <c r="D298" s="2"/>
    </row>
    <row r="299" ht="15.75" customHeight="1">
      <c r="A299" s="2"/>
      <c r="B299" s="2"/>
      <c r="C299" s="2"/>
      <c r="D299" s="2"/>
    </row>
    <row r="300" ht="15.75" customHeight="1">
      <c r="A300" s="2"/>
      <c r="B300" s="2"/>
      <c r="C300" s="2"/>
      <c r="D300" s="2"/>
    </row>
    <row r="301" ht="15.75" customHeight="1">
      <c r="A301" s="2"/>
      <c r="B301" s="2"/>
      <c r="C301" s="2"/>
      <c r="D301" s="2"/>
    </row>
    <row r="302" ht="15.75" customHeight="1">
      <c r="A302" s="2"/>
      <c r="B302" s="2"/>
      <c r="C302" s="2"/>
      <c r="D302" s="2"/>
    </row>
    <row r="303" ht="15.75" customHeight="1">
      <c r="A303" s="2"/>
      <c r="B303" s="2"/>
      <c r="C303" s="2"/>
      <c r="D303" s="2"/>
    </row>
    <row r="304" ht="15.75" customHeight="1">
      <c r="A304" s="2"/>
      <c r="B304" s="2"/>
      <c r="C304" s="2"/>
      <c r="D304" s="2"/>
    </row>
    <row r="305" ht="15.75" customHeight="1">
      <c r="A305" s="2"/>
      <c r="B305" s="2"/>
      <c r="C305" s="2"/>
      <c r="D305" s="2"/>
    </row>
    <row r="306" ht="15.75" customHeight="1">
      <c r="A306" s="2"/>
      <c r="B306" s="2"/>
      <c r="C306" s="2"/>
      <c r="D306" s="2"/>
    </row>
    <row r="307" ht="15.75" customHeight="1">
      <c r="A307" s="2"/>
      <c r="B307" s="2"/>
      <c r="C307" s="2"/>
      <c r="D307" s="2"/>
    </row>
    <row r="308" ht="15.75" customHeight="1">
      <c r="A308" s="2"/>
      <c r="B308" s="2"/>
      <c r="C308" s="2"/>
      <c r="D308" s="2"/>
    </row>
    <row r="309" ht="15.75" customHeight="1">
      <c r="A309" s="2"/>
      <c r="B309" s="2"/>
      <c r="C309" s="2"/>
      <c r="D309" s="2"/>
    </row>
    <row r="310" ht="15.75" customHeight="1">
      <c r="A310" s="2"/>
      <c r="B310" s="2"/>
      <c r="C310" s="2"/>
      <c r="D310" s="2"/>
    </row>
    <row r="311" ht="15.75" customHeight="1">
      <c r="A311" s="2"/>
      <c r="B311" s="2"/>
      <c r="C311" s="2"/>
      <c r="D311" s="2"/>
    </row>
    <row r="312" ht="15.75" customHeight="1">
      <c r="A312" s="2"/>
      <c r="B312" s="2"/>
      <c r="C312" s="2"/>
      <c r="D312" s="2"/>
    </row>
    <row r="313" ht="15.75" customHeight="1">
      <c r="A313" s="2"/>
      <c r="B313" s="2"/>
      <c r="C313" s="2"/>
      <c r="D313" s="2"/>
    </row>
    <row r="314" ht="15.75" customHeight="1">
      <c r="A314" s="2"/>
      <c r="B314" s="2"/>
      <c r="C314" s="2"/>
      <c r="D314" s="2"/>
    </row>
    <row r="315" ht="15.75" customHeight="1">
      <c r="A315" s="2"/>
      <c r="B315" s="2"/>
      <c r="C315" s="2"/>
      <c r="D315" s="2"/>
    </row>
    <row r="316" ht="15.75" customHeight="1">
      <c r="A316" s="2"/>
      <c r="B316" s="2"/>
      <c r="C316" s="2"/>
      <c r="D316" s="2"/>
    </row>
    <row r="317" ht="15.75" customHeight="1">
      <c r="A317" s="2"/>
      <c r="B317" s="2"/>
      <c r="C317" s="2"/>
      <c r="D317" s="2"/>
    </row>
    <row r="318" ht="15.75" customHeight="1">
      <c r="A318" s="2"/>
      <c r="B318" s="2"/>
      <c r="C318" s="2"/>
      <c r="D318" s="2"/>
    </row>
    <row r="319" ht="15.75" customHeight="1">
      <c r="A319" s="2"/>
      <c r="B319" s="2"/>
      <c r="C319" s="2"/>
      <c r="D319" s="2"/>
    </row>
    <row r="320" ht="15.75" customHeight="1">
      <c r="A320" s="2"/>
      <c r="B320" s="2"/>
      <c r="C320" s="2"/>
      <c r="D320" s="2"/>
    </row>
    <row r="321" ht="15.75" customHeight="1">
      <c r="A321" s="2"/>
      <c r="B321" s="2"/>
      <c r="C321" s="2"/>
      <c r="D321" s="2"/>
    </row>
    <row r="322" ht="15.75" customHeight="1">
      <c r="A322" s="2"/>
      <c r="B322" s="2"/>
      <c r="C322" s="2"/>
      <c r="D322" s="2"/>
    </row>
    <row r="323" ht="15.75" customHeight="1">
      <c r="A323" s="2"/>
      <c r="B323" s="2"/>
      <c r="C323" s="2"/>
      <c r="D323" s="2"/>
    </row>
    <row r="324" ht="15.75" customHeight="1">
      <c r="A324" s="2"/>
      <c r="B324" s="2"/>
      <c r="C324" s="2"/>
      <c r="D324" s="2"/>
    </row>
    <row r="325" ht="15.75" customHeight="1">
      <c r="A325" s="2"/>
      <c r="B325" s="2"/>
      <c r="C325" s="2"/>
      <c r="D325" s="2"/>
    </row>
    <row r="326" ht="15.75" customHeight="1">
      <c r="A326" s="2"/>
      <c r="B326" s="2"/>
      <c r="C326" s="2"/>
      <c r="D326" s="2"/>
    </row>
    <row r="327" ht="15.75" customHeight="1">
      <c r="A327" s="2"/>
      <c r="B327" s="2"/>
      <c r="C327" s="2"/>
      <c r="D327" s="2"/>
    </row>
    <row r="328" ht="15.75" customHeight="1">
      <c r="A328" s="2"/>
      <c r="B328" s="2"/>
      <c r="C328" s="2"/>
      <c r="D328" s="2"/>
    </row>
    <row r="329" ht="15.75" customHeight="1">
      <c r="A329" s="2"/>
      <c r="B329" s="2"/>
      <c r="C329" s="2"/>
      <c r="D329" s="2"/>
    </row>
    <row r="330" ht="15.75" customHeight="1">
      <c r="A330" s="2"/>
      <c r="B330" s="2"/>
      <c r="C330" s="2"/>
      <c r="D330" s="2"/>
    </row>
    <row r="331" ht="15.75" customHeight="1">
      <c r="A331" s="2"/>
      <c r="B331" s="2"/>
      <c r="C331" s="2"/>
      <c r="D331" s="2"/>
    </row>
    <row r="332" ht="15.75" customHeight="1">
      <c r="A332" s="2"/>
      <c r="B332" s="2"/>
      <c r="C332" s="2"/>
      <c r="D332" s="2"/>
    </row>
    <row r="333" ht="15.75" customHeight="1">
      <c r="A333" s="2"/>
      <c r="B333" s="2"/>
      <c r="C333" s="2"/>
      <c r="D333" s="2"/>
    </row>
    <row r="334" ht="15.75" customHeight="1">
      <c r="A334" s="2"/>
      <c r="B334" s="2"/>
      <c r="C334" s="2"/>
      <c r="D334" s="2"/>
    </row>
    <row r="335" ht="15.75" customHeight="1">
      <c r="A335" s="2"/>
      <c r="B335" s="2"/>
      <c r="C335" s="2"/>
      <c r="D335" s="2"/>
    </row>
    <row r="336" ht="15.75" customHeight="1">
      <c r="A336" s="2"/>
      <c r="B336" s="2"/>
      <c r="C336" s="2"/>
      <c r="D336" s="2"/>
    </row>
    <row r="337" ht="15.75" customHeight="1">
      <c r="A337" s="2"/>
      <c r="B337" s="2"/>
      <c r="C337" s="2"/>
      <c r="D337" s="2"/>
    </row>
    <row r="338" ht="15.75" customHeight="1">
      <c r="A338" s="2"/>
      <c r="B338" s="2"/>
      <c r="C338" s="2"/>
      <c r="D338" s="2"/>
    </row>
    <row r="339" ht="15.75" customHeight="1">
      <c r="A339" s="2"/>
      <c r="B339" s="2"/>
      <c r="C339" s="2"/>
      <c r="D339" s="2"/>
    </row>
    <row r="340" ht="15.75" customHeight="1">
      <c r="A340" s="2"/>
      <c r="B340" s="2"/>
      <c r="C340" s="2"/>
      <c r="D340" s="2"/>
    </row>
    <row r="341" ht="15.75" customHeight="1">
      <c r="A341" s="2"/>
      <c r="B341" s="2"/>
      <c r="C341" s="2"/>
      <c r="D341" s="2"/>
    </row>
    <row r="342" ht="15.75" customHeight="1">
      <c r="A342" s="2"/>
      <c r="B342" s="2"/>
      <c r="C342" s="2"/>
      <c r="D342" s="2"/>
    </row>
    <row r="343" ht="15.75" customHeight="1">
      <c r="A343" s="2"/>
      <c r="B343" s="2"/>
      <c r="C343" s="2"/>
      <c r="D343" s="2"/>
    </row>
    <row r="344" ht="15.75" customHeight="1">
      <c r="A344" s="2"/>
      <c r="B344" s="2"/>
      <c r="C344" s="2"/>
      <c r="D344" s="2"/>
    </row>
    <row r="345" ht="15.75" customHeight="1">
      <c r="A345" s="2"/>
      <c r="B345" s="2"/>
      <c r="C345" s="2"/>
      <c r="D345" s="2"/>
    </row>
    <row r="346" ht="15.75" customHeight="1">
      <c r="A346" s="2"/>
      <c r="B346" s="2"/>
      <c r="C346" s="2"/>
      <c r="D346" s="2"/>
    </row>
    <row r="347" ht="15.75" customHeight="1">
      <c r="A347" s="2"/>
      <c r="B347" s="2"/>
      <c r="C347" s="2"/>
      <c r="D347" s="2"/>
    </row>
    <row r="348" ht="15.75" customHeight="1">
      <c r="A348" s="2"/>
      <c r="B348" s="2"/>
      <c r="C348" s="2"/>
      <c r="D348" s="2"/>
    </row>
    <row r="349" ht="15.75" customHeight="1">
      <c r="A349" s="2"/>
      <c r="B349" s="2"/>
      <c r="C349" s="2"/>
      <c r="D349" s="2"/>
    </row>
    <row r="350" ht="15.75" customHeight="1">
      <c r="A350" s="2"/>
      <c r="B350" s="2"/>
      <c r="C350" s="2"/>
      <c r="D350" s="2"/>
    </row>
    <row r="351" ht="15.75" customHeight="1">
      <c r="A351" s="2"/>
      <c r="B351" s="2"/>
      <c r="C351" s="2"/>
      <c r="D351" s="2"/>
    </row>
    <row r="352" ht="15.75" customHeight="1">
      <c r="A352" s="2"/>
      <c r="B352" s="2"/>
      <c r="C352" s="2"/>
      <c r="D352" s="2"/>
    </row>
    <row r="353" ht="15.75" customHeight="1">
      <c r="A353" s="2"/>
      <c r="B353" s="2"/>
      <c r="C353" s="2"/>
      <c r="D353" s="2"/>
    </row>
    <row r="354" ht="15.75" customHeight="1">
      <c r="A354" s="2"/>
      <c r="B354" s="2"/>
      <c r="C354" s="2"/>
      <c r="D354" s="2"/>
    </row>
    <row r="355" ht="15.75" customHeight="1">
      <c r="A355" s="2"/>
      <c r="B355" s="2"/>
      <c r="C355" s="2"/>
      <c r="D355" s="2"/>
    </row>
    <row r="356" ht="15.75" customHeight="1">
      <c r="A356" s="2"/>
      <c r="B356" s="2"/>
      <c r="C356" s="2"/>
      <c r="D356" s="2"/>
    </row>
    <row r="357" ht="15.75" customHeight="1">
      <c r="A357" s="2"/>
      <c r="B357" s="2"/>
      <c r="C357" s="2"/>
      <c r="D357" s="2"/>
    </row>
    <row r="358" ht="15.75" customHeight="1">
      <c r="A358" s="2"/>
      <c r="B358" s="2"/>
      <c r="C358" s="2"/>
      <c r="D358" s="2"/>
    </row>
    <row r="359" ht="15.75" customHeight="1">
      <c r="A359" s="2"/>
      <c r="B359" s="2"/>
      <c r="C359" s="2"/>
      <c r="D359" s="2"/>
    </row>
    <row r="360" ht="15.75" customHeight="1">
      <c r="A360" s="2"/>
      <c r="B360" s="2"/>
      <c r="C360" s="2"/>
      <c r="D360" s="2"/>
    </row>
    <row r="361" ht="15.75" customHeight="1">
      <c r="A361" s="2"/>
      <c r="B361" s="2"/>
      <c r="C361" s="2"/>
      <c r="D361" s="2"/>
    </row>
    <row r="362" ht="15.75" customHeight="1">
      <c r="A362" s="2"/>
      <c r="B362" s="2"/>
      <c r="C362" s="2"/>
      <c r="D362" s="2"/>
    </row>
    <row r="363" ht="15.75" customHeight="1">
      <c r="A363" s="2"/>
      <c r="B363" s="2"/>
      <c r="C363" s="2"/>
      <c r="D363" s="2"/>
    </row>
    <row r="364" ht="15.75" customHeight="1">
      <c r="A364" s="2"/>
      <c r="B364" s="2"/>
      <c r="C364" s="2"/>
      <c r="D364" s="2"/>
    </row>
    <row r="365" ht="15.75" customHeight="1">
      <c r="A365" s="2"/>
      <c r="B365" s="2"/>
      <c r="C365" s="2"/>
      <c r="D365" s="2"/>
    </row>
    <row r="366" ht="15.75" customHeight="1">
      <c r="A366" s="2"/>
      <c r="B366" s="2"/>
      <c r="C366" s="2"/>
      <c r="D366" s="2"/>
    </row>
    <row r="367" ht="15.75" customHeight="1">
      <c r="A367" s="2"/>
      <c r="B367" s="2"/>
      <c r="C367" s="2"/>
      <c r="D367" s="2"/>
    </row>
    <row r="368" ht="15.75" customHeight="1">
      <c r="A368" s="2"/>
      <c r="B368" s="2"/>
      <c r="C368" s="2"/>
      <c r="D368" s="2"/>
    </row>
    <row r="369" ht="15.75" customHeight="1">
      <c r="A369" s="2"/>
      <c r="B369" s="2"/>
      <c r="C369" s="2"/>
      <c r="D369" s="2"/>
    </row>
    <row r="370" ht="15.75" customHeight="1">
      <c r="A370" s="2"/>
      <c r="B370" s="2"/>
      <c r="C370" s="2"/>
      <c r="D370" s="2"/>
    </row>
    <row r="371" ht="15.75" customHeight="1">
      <c r="A371" s="2"/>
      <c r="B371" s="2"/>
      <c r="C371" s="2"/>
      <c r="D371" s="2"/>
    </row>
    <row r="372" ht="15.75" customHeight="1">
      <c r="A372" s="2"/>
      <c r="B372" s="2"/>
      <c r="C372" s="2"/>
      <c r="D372" s="2"/>
    </row>
    <row r="373" ht="15.75" customHeight="1">
      <c r="A373" s="2"/>
      <c r="B373" s="2"/>
      <c r="C373" s="2"/>
      <c r="D373" s="2"/>
    </row>
    <row r="374" ht="15.75" customHeight="1">
      <c r="A374" s="2"/>
      <c r="B374" s="2"/>
      <c r="C374" s="2"/>
      <c r="D374" s="2"/>
    </row>
    <row r="375" ht="15.75" customHeight="1">
      <c r="A375" s="2"/>
      <c r="B375" s="2"/>
      <c r="C375" s="2"/>
      <c r="D375" s="2"/>
    </row>
    <row r="376" ht="15.75" customHeight="1">
      <c r="A376" s="2"/>
      <c r="B376" s="2"/>
      <c r="C376" s="2"/>
      <c r="D376" s="2"/>
    </row>
    <row r="377" ht="15.75" customHeight="1">
      <c r="A377" s="2"/>
      <c r="B377" s="2"/>
      <c r="C377" s="2"/>
      <c r="D377" s="2"/>
    </row>
    <row r="378" ht="15.75" customHeight="1">
      <c r="A378" s="2"/>
      <c r="B378" s="2"/>
      <c r="C378" s="2"/>
      <c r="D378" s="2"/>
    </row>
    <row r="379" ht="15.75" customHeight="1">
      <c r="A379" s="2"/>
      <c r="B379" s="2"/>
      <c r="C379" s="2"/>
      <c r="D379" s="2"/>
    </row>
    <row r="380" ht="15.75" customHeight="1">
      <c r="A380" s="2"/>
      <c r="B380" s="2"/>
      <c r="C380" s="2"/>
      <c r="D380" s="2"/>
    </row>
    <row r="381" ht="15.75" customHeight="1">
      <c r="A381" s="2"/>
      <c r="B381" s="2"/>
      <c r="C381" s="2"/>
      <c r="D381" s="2"/>
    </row>
    <row r="382" ht="15.75" customHeight="1">
      <c r="A382" s="2"/>
      <c r="B382" s="2"/>
      <c r="C382" s="2"/>
      <c r="D382" s="2"/>
    </row>
    <row r="383" ht="15.75" customHeight="1">
      <c r="A383" s="2"/>
      <c r="B383" s="2"/>
      <c r="C383" s="2"/>
      <c r="D383" s="2"/>
    </row>
    <row r="384" ht="15.75" customHeight="1">
      <c r="A384" s="2"/>
      <c r="B384" s="2"/>
      <c r="C384" s="2"/>
      <c r="D384" s="2"/>
    </row>
    <row r="385" ht="15.75" customHeight="1">
      <c r="A385" s="2"/>
      <c r="B385" s="2"/>
      <c r="C385" s="2"/>
      <c r="D385" s="2"/>
    </row>
    <row r="386" ht="15.75" customHeight="1">
      <c r="A386" s="2"/>
      <c r="B386" s="2"/>
      <c r="C386" s="2"/>
      <c r="D386" s="2"/>
    </row>
    <row r="387" ht="15.75" customHeight="1">
      <c r="A387" s="2"/>
      <c r="B387" s="2"/>
      <c r="C387" s="2"/>
      <c r="D387" s="2"/>
    </row>
    <row r="388" ht="15.75" customHeight="1">
      <c r="A388" s="2"/>
      <c r="B388" s="2"/>
      <c r="C388" s="2"/>
      <c r="D388" s="2"/>
    </row>
    <row r="389" ht="15.75" customHeight="1">
      <c r="A389" s="2"/>
      <c r="B389" s="2"/>
      <c r="C389" s="2"/>
      <c r="D389" s="2"/>
    </row>
    <row r="390" ht="15.75" customHeight="1">
      <c r="A390" s="2"/>
      <c r="B390" s="2"/>
      <c r="C390" s="2"/>
      <c r="D390" s="2"/>
    </row>
    <row r="391" ht="15.75" customHeight="1">
      <c r="A391" s="2"/>
      <c r="B391" s="2"/>
      <c r="C391" s="2"/>
      <c r="D391" s="2"/>
    </row>
    <row r="392" ht="15.75" customHeight="1">
      <c r="A392" s="2"/>
      <c r="B392" s="2"/>
      <c r="C392" s="2"/>
      <c r="D392" s="2"/>
    </row>
    <row r="393" ht="15.75" customHeight="1">
      <c r="A393" s="2"/>
      <c r="B393" s="2"/>
      <c r="C393" s="2"/>
      <c r="D393" s="2"/>
    </row>
    <row r="394" ht="15.75" customHeight="1">
      <c r="A394" s="2"/>
      <c r="B394" s="2"/>
      <c r="C394" s="2"/>
      <c r="D394" s="2"/>
    </row>
    <row r="395" ht="15.75" customHeight="1">
      <c r="A395" s="2"/>
      <c r="B395" s="2"/>
      <c r="C395" s="2"/>
      <c r="D395" s="2"/>
    </row>
    <row r="396" ht="15.75" customHeight="1">
      <c r="A396" s="2"/>
      <c r="B396" s="2"/>
      <c r="C396" s="2"/>
      <c r="D396" s="2"/>
    </row>
    <row r="397" ht="15.75" customHeight="1">
      <c r="A397" s="2"/>
      <c r="B397" s="2"/>
      <c r="C397" s="2"/>
      <c r="D397" s="2"/>
    </row>
    <row r="398" ht="15.75" customHeight="1">
      <c r="A398" s="2"/>
      <c r="B398" s="2"/>
      <c r="C398" s="2"/>
      <c r="D398" s="2"/>
    </row>
    <row r="399" ht="15.75" customHeight="1">
      <c r="A399" s="2"/>
      <c r="B399" s="2"/>
      <c r="C399" s="2"/>
      <c r="D399" s="2"/>
    </row>
    <row r="400" ht="15.75" customHeight="1">
      <c r="A400" s="2"/>
      <c r="B400" s="2"/>
      <c r="C400" s="2"/>
      <c r="D400" s="2"/>
    </row>
    <row r="401" ht="15.75" customHeight="1">
      <c r="A401" s="2"/>
      <c r="B401" s="2"/>
      <c r="C401" s="2"/>
      <c r="D401" s="2"/>
    </row>
    <row r="402" ht="15.75" customHeight="1">
      <c r="A402" s="2"/>
      <c r="B402" s="2"/>
      <c r="C402" s="2"/>
      <c r="D402" s="2"/>
    </row>
    <row r="403" ht="15.75" customHeight="1">
      <c r="A403" s="2"/>
      <c r="B403" s="2"/>
      <c r="C403" s="2"/>
      <c r="D403" s="2"/>
    </row>
    <row r="404" ht="15.75" customHeight="1">
      <c r="A404" s="2"/>
      <c r="B404" s="2"/>
      <c r="C404" s="2"/>
      <c r="D404" s="2"/>
    </row>
    <row r="405" ht="15.75" customHeight="1">
      <c r="A405" s="2"/>
      <c r="B405" s="2"/>
      <c r="C405" s="2"/>
      <c r="D405" s="2"/>
    </row>
    <row r="406" ht="15.75" customHeight="1">
      <c r="A406" s="2"/>
      <c r="B406" s="2"/>
      <c r="C406" s="2"/>
      <c r="D406" s="2"/>
    </row>
    <row r="407" ht="15.75" customHeight="1">
      <c r="A407" s="2"/>
      <c r="B407" s="2"/>
      <c r="C407" s="2"/>
      <c r="D407" s="2"/>
    </row>
    <row r="408" ht="15.75" customHeight="1">
      <c r="A408" s="2"/>
      <c r="B408" s="2"/>
      <c r="C408" s="2"/>
      <c r="D408" s="2"/>
    </row>
    <row r="409" ht="15.75" customHeight="1">
      <c r="A409" s="2"/>
      <c r="B409" s="2"/>
      <c r="C409" s="2"/>
      <c r="D409" s="2"/>
    </row>
    <row r="410" ht="15.75" customHeight="1">
      <c r="A410" s="2"/>
      <c r="B410" s="2"/>
      <c r="C410" s="2"/>
      <c r="D410" s="2"/>
    </row>
    <row r="411" ht="15.75" customHeight="1">
      <c r="A411" s="2"/>
      <c r="B411" s="2"/>
      <c r="C411" s="2"/>
      <c r="D411" s="2"/>
    </row>
    <row r="412" ht="15.75" customHeight="1">
      <c r="A412" s="2"/>
      <c r="B412" s="2"/>
      <c r="C412" s="2"/>
      <c r="D412" s="2"/>
    </row>
    <row r="413" ht="15.75" customHeight="1">
      <c r="A413" s="2"/>
      <c r="B413" s="2"/>
      <c r="C413" s="2"/>
      <c r="D413" s="2"/>
    </row>
    <row r="414" ht="15.75" customHeight="1">
      <c r="A414" s="2"/>
      <c r="B414" s="2"/>
      <c r="C414" s="2"/>
      <c r="D414" s="2"/>
    </row>
    <row r="415" ht="15.75" customHeight="1">
      <c r="A415" s="2"/>
      <c r="B415" s="2"/>
      <c r="C415" s="2"/>
      <c r="D415" s="2"/>
    </row>
    <row r="416" ht="15.75" customHeight="1">
      <c r="A416" s="2"/>
      <c r="B416" s="2"/>
      <c r="C416" s="2"/>
      <c r="D416" s="2"/>
    </row>
    <row r="417" ht="15.75" customHeight="1">
      <c r="A417" s="2"/>
      <c r="B417" s="2"/>
      <c r="C417" s="2"/>
      <c r="D417" s="2"/>
    </row>
    <row r="418" ht="15.75" customHeight="1">
      <c r="A418" s="2"/>
      <c r="B418" s="2"/>
      <c r="C418" s="2"/>
      <c r="D418" s="2"/>
    </row>
    <row r="419" ht="15.75" customHeight="1">
      <c r="A419" s="2"/>
      <c r="B419" s="2"/>
      <c r="C419" s="2"/>
      <c r="D419" s="2"/>
    </row>
    <row r="420" ht="15.75" customHeight="1">
      <c r="A420" s="2"/>
      <c r="B420" s="2"/>
      <c r="C420" s="2"/>
      <c r="D420" s="2"/>
    </row>
    <row r="421" ht="15.75" customHeight="1">
      <c r="A421" s="2"/>
      <c r="B421" s="2"/>
      <c r="C421" s="2"/>
      <c r="D421" s="2"/>
    </row>
    <row r="422" ht="15.75" customHeight="1">
      <c r="A422" s="2"/>
      <c r="B422" s="2"/>
      <c r="C422" s="2"/>
      <c r="D422" s="2"/>
    </row>
    <row r="423" ht="15.75" customHeight="1">
      <c r="A423" s="2"/>
      <c r="B423" s="2"/>
      <c r="C423" s="2"/>
      <c r="D423" s="2"/>
    </row>
    <row r="424" ht="15.75" customHeight="1">
      <c r="A424" s="2"/>
      <c r="B424" s="2"/>
      <c r="C424" s="2"/>
      <c r="D424" s="2"/>
    </row>
    <row r="425" ht="15.75" customHeight="1">
      <c r="A425" s="2"/>
      <c r="B425" s="2"/>
      <c r="C425" s="2"/>
      <c r="D425" s="2"/>
    </row>
    <row r="426" ht="15.75" customHeight="1">
      <c r="A426" s="2"/>
      <c r="B426" s="2"/>
      <c r="C426" s="2"/>
      <c r="D426" s="2"/>
    </row>
    <row r="427" ht="15.75" customHeight="1">
      <c r="A427" s="2"/>
      <c r="B427" s="2"/>
      <c r="C427" s="2"/>
      <c r="D427" s="2"/>
    </row>
    <row r="428" ht="15.75" customHeight="1">
      <c r="A428" s="2"/>
      <c r="B428" s="2"/>
      <c r="C428" s="2"/>
      <c r="D428" s="2"/>
    </row>
    <row r="429" ht="15.75" customHeight="1">
      <c r="A429" s="2"/>
      <c r="B429" s="2"/>
      <c r="C429" s="2"/>
      <c r="D429" s="2"/>
    </row>
    <row r="430" ht="15.75" customHeight="1">
      <c r="A430" s="2"/>
      <c r="B430" s="2"/>
      <c r="C430" s="2"/>
      <c r="D430" s="2"/>
    </row>
    <row r="431" ht="15.75" customHeight="1">
      <c r="A431" s="2"/>
      <c r="B431" s="2"/>
      <c r="C431" s="2"/>
      <c r="D431" s="2"/>
    </row>
    <row r="432" ht="15.75" customHeight="1">
      <c r="A432" s="2"/>
      <c r="B432" s="2"/>
      <c r="C432" s="2"/>
      <c r="D432" s="2"/>
    </row>
    <row r="433" ht="15.75" customHeight="1">
      <c r="A433" s="2"/>
      <c r="B433" s="2"/>
      <c r="C433" s="2"/>
      <c r="D433" s="2"/>
    </row>
    <row r="434" ht="15.75" customHeight="1">
      <c r="A434" s="2"/>
      <c r="B434" s="2"/>
      <c r="C434" s="2"/>
      <c r="D434" s="2"/>
    </row>
    <row r="435" ht="15.75" customHeight="1">
      <c r="A435" s="2"/>
      <c r="B435" s="2"/>
      <c r="C435" s="2"/>
      <c r="D435" s="2"/>
    </row>
    <row r="436" ht="15.75" customHeight="1">
      <c r="A436" s="2"/>
      <c r="B436" s="2"/>
      <c r="C436" s="2"/>
      <c r="D436" s="2"/>
    </row>
    <row r="437" ht="15.75" customHeight="1">
      <c r="A437" s="2"/>
      <c r="B437" s="2"/>
      <c r="C437" s="2"/>
      <c r="D437" s="2"/>
    </row>
    <row r="438" ht="15.75" customHeight="1">
      <c r="A438" s="2"/>
      <c r="B438" s="2"/>
      <c r="C438" s="2"/>
      <c r="D438" s="2"/>
    </row>
    <row r="439" ht="15.75" customHeight="1">
      <c r="A439" s="2"/>
      <c r="B439" s="2"/>
      <c r="C439" s="2"/>
      <c r="D439" s="2"/>
    </row>
    <row r="440" ht="15.75" customHeight="1">
      <c r="A440" s="2"/>
      <c r="B440" s="2"/>
      <c r="C440" s="2"/>
      <c r="D440" s="2"/>
    </row>
    <row r="441" ht="15.75" customHeight="1">
      <c r="A441" s="2"/>
      <c r="B441" s="2"/>
      <c r="C441" s="2"/>
      <c r="D441" s="2"/>
    </row>
    <row r="442" ht="15.75" customHeight="1">
      <c r="A442" s="2"/>
      <c r="B442" s="2"/>
      <c r="C442" s="2"/>
      <c r="D442" s="2"/>
    </row>
    <row r="443" ht="15.75" customHeight="1">
      <c r="A443" s="2"/>
      <c r="B443" s="2"/>
      <c r="C443" s="2"/>
      <c r="D443" s="2"/>
    </row>
    <row r="444" ht="15.75" customHeight="1">
      <c r="A444" s="2"/>
      <c r="B444" s="2"/>
      <c r="C444" s="2"/>
      <c r="D444" s="2"/>
    </row>
    <row r="445" ht="15.75" customHeight="1">
      <c r="A445" s="2"/>
      <c r="B445" s="2"/>
      <c r="C445" s="2"/>
      <c r="D445" s="2"/>
    </row>
    <row r="446" ht="15.75" customHeight="1">
      <c r="A446" s="2"/>
      <c r="B446" s="2"/>
      <c r="C446" s="2"/>
      <c r="D446" s="2"/>
    </row>
    <row r="447" ht="15.75" customHeight="1">
      <c r="A447" s="2"/>
      <c r="B447" s="2"/>
      <c r="C447" s="2"/>
      <c r="D447" s="2"/>
    </row>
    <row r="448" ht="15.75" customHeight="1">
      <c r="A448" s="2"/>
      <c r="B448" s="2"/>
      <c r="C448" s="2"/>
      <c r="D448" s="2"/>
    </row>
    <row r="449" ht="15.75" customHeight="1">
      <c r="A449" s="2"/>
      <c r="B449" s="2"/>
      <c r="C449" s="2"/>
      <c r="D449" s="2"/>
    </row>
    <row r="450" ht="15.75" customHeight="1">
      <c r="A450" s="2"/>
      <c r="B450" s="2"/>
      <c r="C450" s="2"/>
      <c r="D450" s="2"/>
    </row>
    <row r="451" ht="15.75" customHeight="1">
      <c r="A451" s="2"/>
      <c r="B451" s="2"/>
      <c r="C451" s="2"/>
      <c r="D451" s="2"/>
    </row>
    <row r="452" ht="15.75" customHeight="1">
      <c r="A452" s="2"/>
      <c r="B452" s="2"/>
      <c r="C452" s="2"/>
      <c r="D452" s="2"/>
    </row>
    <row r="453" ht="15.75" customHeight="1">
      <c r="A453" s="2"/>
      <c r="B453" s="2"/>
      <c r="C453" s="2"/>
      <c r="D453" s="2"/>
    </row>
    <row r="454" ht="15.75" customHeight="1">
      <c r="A454" s="2"/>
      <c r="B454" s="2"/>
      <c r="C454" s="2"/>
      <c r="D454" s="2"/>
    </row>
    <row r="455" ht="15.75" customHeight="1">
      <c r="A455" s="2"/>
      <c r="B455" s="2"/>
      <c r="C455" s="2"/>
      <c r="D455" s="2"/>
    </row>
    <row r="456" ht="15.75" customHeight="1">
      <c r="A456" s="2"/>
      <c r="B456" s="2"/>
      <c r="C456" s="2"/>
      <c r="D456" s="2"/>
    </row>
    <row r="457" ht="15.75" customHeight="1">
      <c r="A457" s="2"/>
      <c r="B457" s="2"/>
      <c r="C457" s="2"/>
      <c r="D457" s="2"/>
    </row>
    <row r="458" ht="15.75" customHeight="1">
      <c r="A458" s="2"/>
      <c r="B458" s="2"/>
      <c r="C458" s="2"/>
      <c r="D458" s="2"/>
    </row>
    <row r="459" ht="15.75" customHeight="1">
      <c r="A459" s="2"/>
      <c r="B459" s="2"/>
      <c r="C459" s="2"/>
      <c r="D459" s="2"/>
    </row>
    <row r="460" ht="15.75" customHeight="1">
      <c r="A460" s="2"/>
      <c r="B460" s="2"/>
      <c r="C460" s="2"/>
      <c r="D460" s="2"/>
    </row>
    <row r="461" ht="15.75" customHeight="1">
      <c r="A461" s="2"/>
      <c r="B461" s="2"/>
      <c r="C461" s="2"/>
      <c r="D461" s="2"/>
    </row>
    <row r="462" ht="15.75" customHeight="1">
      <c r="A462" s="2"/>
      <c r="B462" s="2"/>
      <c r="C462" s="2"/>
      <c r="D462" s="2"/>
    </row>
    <row r="463" ht="15.75" customHeight="1">
      <c r="A463" s="2"/>
      <c r="B463" s="2"/>
      <c r="C463" s="2"/>
      <c r="D463" s="2"/>
    </row>
    <row r="464" ht="15.75" customHeight="1">
      <c r="A464" s="2"/>
      <c r="B464" s="2"/>
      <c r="C464" s="2"/>
      <c r="D464" s="2"/>
    </row>
    <row r="465" ht="15.75" customHeight="1">
      <c r="A465" s="2"/>
      <c r="B465" s="2"/>
      <c r="C465" s="2"/>
      <c r="D465" s="2"/>
    </row>
    <row r="466" ht="15.75" customHeight="1">
      <c r="A466" s="2"/>
      <c r="B466" s="2"/>
      <c r="C466" s="2"/>
      <c r="D466" s="2"/>
    </row>
    <row r="467" ht="15.75" customHeight="1">
      <c r="A467" s="2"/>
      <c r="B467" s="2"/>
      <c r="C467" s="2"/>
      <c r="D467" s="2"/>
    </row>
    <row r="468" ht="15.75" customHeight="1">
      <c r="A468" s="2"/>
      <c r="B468" s="2"/>
      <c r="C468" s="2"/>
      <c r="D468" s="2"/>
    </row>
    <row r="469" ht="15.75" customHeight="1">
      <c r="A469" s="2"/>
      <c r="B469" s="2"/>
      <c r="C469" s="2"/>
      <c r="D469" s="2"/>
    </row>
    <row r="470" ht="15.75" customHeight="1">
      <c r="A470" s="2"/>
      <c r="B470" s="2"/>
      <c r="C470" s="2"/>
      <c r="D470" s="2"/>
    </row>
    <row r="471" ht="15.75" customHeight="1">
      <c r="A471" s="2"/>
      <c r="B471" s="2"/>
      <c r="C471" s="2"/>
      <c r="D471" s="2"/>
    </row>
    <row r="472" ht="15.75" customHeight="1">
      <c r="A472" s="2"/>
      <c r="B472" s="2"/>
      <c r="C472" s="2"/>
      <c r="D472" s="2"/>
    </row>
    <row r="473" ht="15.75" customHeight="1">
      <c r="A473" s="2"/>
      <c r="B473" s="2"/>
      <c r="C473" s="2"/>
      <c r="D473" s="2"/>
    </row>
    <row r="474" ht="15.75" customHeight="1">
      <c r="A474" s="2"/>
      <c r="B474" s="2"/>
      <c r="C474" s="2"/>
      <c r="D474" s="2"/>
    </row>
    <row r="475" ht="15.75" customHeight="1">
      <c r="A475" s="2"/>
      <c r="B475" s="2"/>
      <c r="C475" s="2"/>
      <c r="D475" s="2"/>
    </row>
    <row r="476" ht="15.75" customHeight="1">
      <c r="A476" s="2"/>
      <c r="B476" s="2"/>
      <c r="C476" s="2"/>
      <c r="D476" s="2"/>
    </row>
    <row r="477" ht="15.75" customHeight="1">
      <c r="A477" s="2"/>
      <c r="B477" s="2"/>
      <c r="C477" s="2"/>
      <c r="D477" s="2"/>
    </row>
    <row r="478" ht="15.75" customHeight="1">
      <c r="A478" s="2"/>
      <c r="B478" s="2"/>
      <c r="C478" s="2"/>
      <c r="D478" s="2"/>
    </row>
    <row r="479" ht="15.75" customHeight="1">
      <c r="A479" s="2"/>
      <c r="B479" s="2"/>
      <c r="C479" s="2"/>
      <c r="D479" s="2"/>
    </row>
    <row r="480" ht="15.75" customHeight="1">
      <c r="A480" s="2"/>
      <c r="B480" s="2"/>
      <c r="C480" s="2"/>
      <c r="D480" s="2"/>
    </row>
    <row r="481" ht="15.75" customHeight="1">
      <c r="A481" s="2"/>
      <c r="B481" s="2"/>
      <c r="C481" s="2"/>
      <c r="D481" s="2"/>
    </row>
    <row r="482" ht="15.75" customHeight="1">
      <c r="A482" s="2"/>
      <c r="B482" s="2"/>
      <c r="C482" s="2"/>
      <c r="D482" s="2"/>
    </row>
    <row r="483" ht="15.75" customHeight="1">
      <c r="A483" s="2"/>
      <c r="B483" s="2"/>
      <c r="C483" s="2"/>
      <c r="D483" s="2"/>
    </row>
    <row r="484" ht="15.75" customHeight="1">
      <c r="A484" s="2"/>
      <c r="B484" s="2"/>
      <c r="C484" s="2"/>
      <c r="D484" s="2"/>
    </row>
    <row r="485" ht="15.75" customHeight="1">
      <c r="A485" s="2"/>
      <c r="B485" s="2"/>
      <c r="C485" s="2"/>
      <c r="D485" s="2"/>
    </row>
    <row r="486" ht="15.75" customHeight="1">
      <c r="A486" s="2"/>
      <c r="B486" s="2"/>
      <c r="C486" s="2"/>
      <c r="D486" s="2"/>
    </row>
    <row r="487" ht="15.75" customHeight="1">
      <c r="A487" s="2"/>
      <c r="B487" s="2"/>
      <c r="C487" s="2"/>
      <c r="D487" s="2"/>
    </row>
    <row r="488" ht="15.75" customHeight="1">
      <c r="A488" s="2"/>
      <c r="B488" s="2"/>
      <c r="C488" s="2"/>
      <c r="D488" s="2"/>
    </row>
    <row r="489" ht="15.75" customHeight="1">
      <c r="A489" s="2"/>
      <c r="B489" s="2"/>
      <c r="C489" s="2"/>
      <c r="D489" s="2"/>
    </row>
    <row r="490" ht="15.75" customHeight="1">
      <c r="A490" s="2"/>
      <c r="B490" s="2"/>
      <c r="C490" s="2"/>
      <c r="D490" s="2"/>
    </row>
    <row r="491" ht="15.75" customHeight="1">
      <c r="A491" s="2"/>
      <c r="B491" s="2"/>
      <c r="C491" s="2"/>
      <c r="D491" s="2"/>
    </row>
    <row r="492" ht="15.75" customHeight="1">
      <c r="A492" s="2"/>
      <c r="B492" s="2"/>
      <c r="C492" s="2"/>
      <c r="D492" s="2"/>
    </row>
    <row r="493" ht="15.75" customHeight="1">
      <c r="A493" s="2"/>
      <c r="B493" s="2"/>
      <c r="C493" s="2"/>
      <c r="D493" s="2"/>
    </row>
    <row r="494" ht="15.75" customHeight="1">
      <c r="A494" s="2"/>
      <c r="B494" s="2"/>
      <c r="C494" s="2"/>
      <c r="D494" s="2"/>
    </row>
    <row r="495" ht="15.75" customHeight="1">
      <c r="A495" s="2"/>
      <c r="B495" s="2"/>
      <c r="C495" s="2"/>
      <c r="D495" s="2"/>
    </row>
    <row r="496" ht="15.75" customHeight="1">
      <c r="A496" s="2"/>
      <c r="B496" s="2"/>
      <c r="C496" s="2"/>
      <c r="D496" s="2"/>
    </row>
    <row r="497" ht="15.75" customHeight="1">
      <c r="A497" s="2"/>
      <c r="B497" s="2"/>
      <c r="C497" s="2"/>
      <c r="D497" s="2"/>
    </row>
    <row r="498" ht="15.75" customHeight="1">
      <c r="A498" s="2"/>
      <c r="B498" s="2"/>
      <c r="C498" s="2"/>
      <c r="D498" s="2"/>
    </row>
    <row r="499" ht="15.75" customHeight="1">
      <c r="A499" s="2"/>
      <c r="B499" s="2"/>
      <c r="C499" s="2"/>
      <c r="D499" s="2"/>
    </row>
    <row r="500" ht="15.75" customHeight="1">
      <c r="A500" s="2"/>
      <c r="B500" s="2"/>
      <c r="C500" s="2"/>
      <c r="D500" s="2"/>
    </row>
    <row r="501" ht="15.75" customHeight="1">
      <c r="A501" s="2"/>
      <c r="B501" s="2"/>
      <c r="C501" s="2"/>
      <c r="D501" s="2"/>
    </row>
    <row r="502" ht="15.75" customHeight="1">
      <c r="A502" s="2"/>
      <c r="B502" s="2"/>
      <c r="C502" s="2"/>
      <c r="D502" s="2"/>
    </row>
    <row r="503" ht="15.75" customHeight="1">
      <c r="A503" s="2"/>
      <c r="B503" s="2"/>
      <c r="C503" s="2"/>
      <c r="D503" s="2"/>
    </row>
    <row r="504" ht="15.75" customHeight="1">
      <c r="A504" s="2"/>
      <c r="B504" s="2"/>
      <c r="C504" s="2"/>
      <c r="D504" s="2"/>
    </row>
    <row r="505" ht="15.75" customHeight="1">
      <c r="A505" s="2"/>
      <c r="B505" s="2"/>
      <c r="C505" s="2"/>
      <c r="D505" s="2"/>
    </row>
    <row r="506" ht="15.75" customHeight="1">
      <c r="A506" s="2"/>
      <c r="B506" s="2"/>
      <c r="C506" s="2"/>
      <c r="D506" s="2"/>
    </row>
    <row r="507" ht="15.75" customHeight="1">
      <c r="A507" s="2"/>
      <c r="B507" s="2"/>
      <c r="C507" s="2"/>
      <c r="D507" s="2"/>
    </row>
    <row r="508" ht="15.75" customHeight="1">
      <c r="A508" s="2"/>
      <c r="B508" s="2"/>
      <c r="C508" s="2"/>
      <c r="D508" s="2"/>
    </row>
    <row r="509" ht="15.75" customHeight="1">
      <c r="A509" s="2"/>
      <c r="B509" s="2"/>
      <c r="C509" s="2"/>
      <c r="D509" s="2"/>
    </row>
    <row r="510" ht="15.75" customHeight="1">
      <c r="A510" s="2"/>
      <c r="B510" s="2"/>
      <c r="C510" s="2"/>
      <c r="D510" s="2"/>
    </row>
    <row r="511" ht="15.75" customHeight="1">
      <c r="A511" s="2"/>
      <c r="B511" s="2"/>
      <c r="C511" s="2"/>
      <c r="D511" s="2"/>
    </row>
    <row r="512" ht="15.75" customHeight="1">
      <c r="A512" s="2"/>
      <c r="B512" s="2"/>
      <c r="C512" s="2"/>
      <c r="D512" s="2"/>
    </row>
    <row r="513" ht="15.75" customHeight="1">
      <c r="A513" s="2"/>
      <c r="B513" s="2"/>
      <c r="C513" s="2"/>
      <c r="D513" s="2"/>
    </row>
    <row r="514" ht="15.75" customHeight="1">
      <c r="A514" s="2"/>
      <c r="B514" s="2"/>
      <c r="C514" s="2"/>
      <c r="D514" s="2"/>
    </row>
    <row r="515" ht="15.75" customHeight="1">
      <c r="A515" s="2"/>
      <c r="B515" s="2"/>
      <c r="C515" s="2"/>
      <c r="D515" s="2"/>
    </row>
    <row r="516" ht="15.75" customHeight="1">
      <c r="A516" s="2"/>
      <c r="B516" s="2"/>
      <c r="C516" s="2"/>
      <c r="D516" s="2"/>
    </row>
    <row r="517" ht="15.75" customHeight="1">
      <c r="A517" s="2"/>
      <c r="B517" s="2"/>
      <c r="C517" s="2"/>
      <c r="D517" s="2"/>
    </row>
    <row r="518" ht="15.75" customHeight="1">
      <c r="A518" s="2"/>
      <c r="B518" s="2"/>
      <c r="C518" s="2"/>
      <c r="D518" s="2"/>
    </row>
    <row r="519" ht="15.75" customHeight="1">
      <c r="A519" s="2"/>
      <c r="B519" s="2"/>
      <c r="C519" s="2"/>
      <c r="D519" s="2"/>
    </row>
    <row r="520" ht="15.75" customHeight="1">
      <c r="A520" s="2"/>
      <c r="B520" s="2"/>
      <c r="C520" s="2"/>
      <c r="D520" s="2"/>
    </row>
    <row r="521" ht="15.75" customHeight="1">
      <c r="A521" s="2"/>
      <c r="B521" s="2"/>
      <c r="C521" s="2"/>
      <c r="D521" s="2"/>
    </row>
    <row r="522" ht="15.75" customHeight="1">
      <c r="A522" s="2"/>
      <c r="B522" s="2"/>
      <c r="C522" s="2"/>
      <c r="D522" s="2"/>
    </row>
    <row r="523" ht="15.75" customHeight="1">
      <c r="A523" s="2"/>
      <c r="B523" s="2"/>
      <c r="C523" s="2"/>
      <c r="D523" s="2"/>
    </row>
    <row r="524" ht="15.75" customHeight="1">
      <c r="A524" s="2"/>
      <c r="B524" s="2"/>
      <c r="C524" s="2"/>
      <c r="D524" s="2"/>
    </row>
    <row r="525" ht="15.75" customHeight="1">
      <c r="A525" s="2"/>
      <c r="B525" s="2"/>
      <c r="C525" s="2"/>
      <c r="D525" s="2"/>
    </row>
    <row r="526" ht="15.75" customHeight="1">
      <c r="A526" s="2"/>
      <c r="B526" s="2"/>
      <c r="C526" s="2"/>
      <c r="D526" s="2"/>
    </row>
    <row r="527" ht="15.75" customHeight="1">
      <c r="A527" s="2"/>
      <c r="B527" s="2"/>
      <c r="C527" s="2"/>
      <c r="D527" s="2"/>
    </row>
    <row r="528" ht="15.75" customHeight="1">
      <c r="A528" s="2"/>
      <c r="B528" s="2"/>
      <c r="C528" s="2"/>
      <c r="D528" s="2"/>
    </row>
    <row r="529" ht="15.75" customHeight="1">
      <c r="A529" s="2"/>
      <c r="B529" s="2"/>
      <c r="C529" s="2"/>
      <c r="D529" s="2"/>
    </row>
    <row r="530" ht="15.75" customHeight="1">
      <c r="A530" s="2"/>
      <c r="B530" s="2"/>
      <c r="C530" s="2"/>
      <c r="D530" s="2"/>
    </row>
    <row r="531" ht="15.75" customHeight="1">
      <c r="A531" s="2"/>
      <c r="B531" s="2"/>
      <c r="C531" s="2"/>
      <c r="D531" s="2"/>
    </row>
    <row r="532" ht="15.75" customHeight="1">
      <c r="A532" s="2"/>
      <c r="B532" s="2"/>
      <c r="C532" s="2"/>
      <c r="D532" s="2"/>
    </row>
    <row r="533" ht="15.75" customHeight="1">
      <c r="A533" s="2"/>
      <c r="B533" s="2"/>
      <c r="C533" s="2"/>
      <c r="D533" s="2"/>
    </row>
    <row r="534" ht="15.75" customHeight="1">
      <c r="A534" s="2"/>
      <c r="B534" s="2"/>
      <c r="C534" s="2"/>
      <c r="D534" s="2"/>
    </row>
    <row r="535" ht="15.75" customHeight="1">
      <c r="A535" s="2"/>
      <c r="B535" s="2"/>
      <c r="C535" s="2"/>
      <c r="D535" s="2"/>
    </row>
    <row r="536" ht="15.75" customHeight="1">
      <c r="A536" s="2"/>
      <c r="B536" s="2"/>
      <c r="C536" s="2"/>
      <c r="D536" s="2"/>
    </row>
    <row r="537" ht="15.75" customHeight="1">
      <c r="A537" s="2"/>
      <c r="B537" s="2"/>
      <c r="C537" s="2"/>
      <c r="D537" s="2"/>
    </row>
    <row r="538" ht="15.75" customHeight="1">
      <c r="A538" s="2"/>
      <c r="B538" s="2"/>
      <c r="C538" s="2"/>
      <c r="D538" s="2"/>
    </row>
    <row r="539" ht="15.75" customHeight="1">
      <c r="A539" s="2"/>
      <c r="B539" s="2"/>
      <c r="C539" s="2"/>
      <c r="D539" s="2"/>
    </row>
    <row r="540" ht="15.75" customHeight="1">
      <c r="A540" s="2"/>
      <c r="B540" s="2"/>
      <c r="C540" s="2"/>
      <c r="D540" s="2"/>
    </row>
    <row r="541" ht="15.75" customHeight="1">
      <c r="A541" s="2"/>
      <c r="B541" s="2"/>
      <c r="C541" s="2"/>
      <c r="D541" s="2"/>
    </row>
    <row r="542" ht="15.75" customHeight="1">
      <c r="A542" s="2"/>
      <c r="B542" s="2"/>
      <c r="C542" s="2"/>
      <c r="D542" s="2"/>
    </row>
    <row r="543" ht="15.75" customHeight="1">
      <c r="A543" s="2"/>
      <c r="B543" s="2"/>
      <c r="C543" s="2"/>
      <c r="D543" s="2"/>
    </row>
    <row r="544" ht="15.75" customHeight="1">
      <c r="A544" s="2"/>
      <c r="B544" s="2"/>
      <c r="C544" s="2"/>
      <c r="D544" s="2"/>
    </row>
    <row r="545" ht="15.75" customHeight="1">
      <c r="A545" s="2"/>
      <c r="B545" s="2"/>
      <c r="C545" s="2"/>
      <c r="D545" s="2"/>
    </row>
    <row r="546" ht="15.75" customHeight="1">
      <c r="A546" s="2"/>
      <c r="B546" s="2"/>
      <c r="C546" s="2"/>
      <c r="D546" s="2"/>
    </row>
    <row r="547" ht="15.75" customHeight="1">
      <c r="A547" s="2"/>
      <c r="B547" s="2"/>
      <c r="C547" s="2"/>
      <c r="D547" s="2"/>
    </row>
    <row r="548" ht="15.75" customHeight="1">
      <c r="A548" s="2"/>
      <c r="B548" s="2"/>
      <c r="C548" s="2"/>
      <c r="D548" s="2"/>
    </row>
    <row r="549" ht="15.75" customHeight="1">
      <c r="A549" s="2"/>
      <c r="B549" s="2"/>
      <c r="C549" s="2"/>
      <c r="D549" s="2"/>
    </row>
    <row r="550" ht="15.75" customHeight="1">
      <c r="A550" s="2"/>
      <c r="B550" s="2"/>
      <c r="C550" s="2"/>
      <c r="D550" s="2"/>
    </row>
    <row r="551" ht="15.75" customHeight="1">
      <c r="A551" s="2"/>
      <c r="B551" s="2"/>
      <c r="C551" s="2"/>
      <c r="D551" s="2"/>
    </row>
    <row r="552" ht="15.75" customHeight="1">
      <c r="A552" s="2"/>
      <c r="B552" s="2"/>
      <c r="C552" s="2"/>
      <c r="D552" s="2"/>
    </row>
    <row r="553" ht="15.75" customHeight="1">
      <c r="A553" s="2"/>
      <c r="B553" s="2"/>
      <c r="C553" s="2"/>
      <c r="D553" s="2"/>
    </row>
    <row r="554" ht="15.75" customHeight="1">
      <c r="A554" s="2"/>
      <c r="B554" s="2"/>
      <c r="C554" s="2"/>
      <c r="D554" s="2"/>
    </row>
    <row r="555" ht="15.75" customHeight="1">
      <c r="A555" s="2"/>
      <c r="B555" s="2"/>
      <c r="C555" s="2"/>
      <c r="D555" s="2"/>
    </row>
    <row r="556" ht="15.75" customHeight="1">
      <c r="A556" s="2"/>
      <c r="B556" s="2"/>
      <c r="C556" s="2"/>
      <c r="D556" s="2"/>
    </row>
    <row r="557" ht="15.75" customHeight="1">
      <c r="A557" s="2"/>
      <c r="B557" s="2"/>
      <c r="C557" s="2"/>
      <c r="D557" s="2"/>
    </row>
    <row r="558" ht="15.75" customHeight="1">
      <c r="A558" s="2"/>
      <c r="B558" s="2"/>
      <c r="C558" s="2"/>
      <c r="D558" s="2"/>
    </row>
    <row r="559" ht="15.75" customHeight="1">
      <c r="A559" s="2"/>
      <c r="B559" s="2"/>
      <c r="C559" s="2"/>
      <c r="D559" s="2"/>
    </row>
    <row r="560" ht="15.75" customHeight="1">
      <c r="A560" s="2"/>
      <c r="B560" s="2"/>
      <c r="C560" s="2"/>
      <c r="D560" s="2"/>
    </row>
    <row r="561" ht="15.75" customHeight="1">
      <c r="A561" s="2"/>
      <c r="B561" s="2"/>
      <c r="C561" s="2"/>
      <c r="D561" s="2"/>
    </row>
    <row r="562" ht="15.75" customHeight="1">
      <c r="A562" s="2"/>
      <c r="B562" s="2"/>
      <c r="C562" s="2"/>
      <c r="D562" s="2"/>
    </row>
    <row r="563" ht="15.75" customHeight="1">
      <c r="A563" s="2"/>
      <c r="B563" s="2"/>
      <c r="C563" s="2"/>
      <c r="D563" s="2"/>
    </row>
    <row r="564" ht="15.75" customHeight="1">
      <c r="A564" s="2"/>
      <c r="B564" s="2"/>
      <c r="C564" s="2"/>
      <c r="D564" s="2"/>
    </row>
    <row r="565" ht="15.75" customHeight="1">
      <c r="A565" s="2"/>
      <c r="B565" s="2"/>
      <c r="C565" s="2"/>
      <c r="D565" s="2"/>
    </row>
    <row r="566" ht="15.75" customHeight="1">
      <c r="A566" s="2"/>
      <c r="B566" s="2"/>
      <c r="C566" s="2"/>
      <c r="D566" s="2"/>
    </row>
    <row r="567" ht="15.75" customHeight="1">
      <c r="A567" s="2"/>
      <c r="B567" s="2"/>
      <c r="C567" s="2"/>
      <c r="D567" s="2"/>
    </row>
    <row r="568" ht="15.75" customHeight="1">
      <c r="A568" s="2"/>
      <c r="B568" s="2"/>
      <c r="C568" s="2"/>
      <c r="D568" s="2"/>
    </row>
    <row r="569" ht="15.75" customHeight="1">
      <c r="A569" s="2"/>
      <c r="B569" s="2"/>
      <c r="C569" s="2"/>
      <c r="D569" s="2"/>
    </row>
    <row r="570" ht="15.75" customHeight="1">
      <c r="A570" s="2"/>
      <c r="B570" s="2"/>
      <c r="C570" s="2"/>
      <c r="D570" s="2"/>
    </row>
    <row r="571" ht="15.75" customHeight="1">
      <c r="A571" s="2"/>
      <c r="B571" s="2"/>
      <c r="C571" s="2"/>
      <c r="D571" s="2"/>
    </row>
    <row r="572" ht="15.75" customHeight="1">
      <c r="A572" s="2"/>
      <c r="B572" s="2"/>
      <c r="C572" s="2"/>
      <c r="D572" s="2"/>
    </row>
    <row r="573" ht="15.75" customHeight="1">
      <c r="A573" s="2"/>
      <c r="B573" s="2"/>
      <c r="C573" s="2"/>
      <c r="D573" s="2"/>
    </row>
    <row r="574" ht="15.75" customHeight="1">
      <c r="A574" s="2"/>
      <c r="B574" s="2"/>
      <c r="C574" s="2"/>
      <c r="D574" s="2"/>
    </row>
    <row r="575" ht="15.75" customHeight="1">
      <c r="A575" s="2"/>
      <c r="B575" s="2"/>
      <c r="C575" s="2"/>
      <c r="D575" s="2"/>
    </row>
    <row r="576" ht="15.75" customHeight="1">
      <c r="A576" s="2"/>
      <c r="B576" s="2"/>
      <c r="C576" s="2"/>
      <c r="D576" s="2"/>
    </row>
    <row r="577" ht="15.75" customHeight="1">
      <c r="A577" s="2"/>
      <c r="B577" s="2"/>
      <c r="C577" s="2"/>
      <c r="D577" s="2"/>
    </row>
    <row r="578" ht="15.75" customHeight="1">
      <c r="A578" s="2"/>
      <c r="B578" s="2"/>
      <c r="C578" s="2"/>
      <c r="D578" s="2"/>
    </row>
    <row r="579" ht="15.75" customHeight="1">
      <c r="A579" s="2"/>
      <c r="B579" s="2"/>
      <c r="C579" s="2"/>
      <c r="D579" s="2"/>
    </row>
    <row r="580" ht="15.75" customHeight="1">
      <c r="A580" s="2"/>
      <c r="B580" s="2"/>
      <c r="C580" s="2"/>
      <c r="D580" s="2"/>
    </row>
    <row r="581" ht="15.75" customHeight="1">
      <c r="A581" s="2"/>
      <c r="B581" s="2"/>
      <c r="C581" s="2"/>
      <c r="D581" s="2"/>
    </row>
    <row r="582" ht="15.75" customHeight="1">
      <c r="A582" s="2"/>
      <c r="B582" s="2"/>
      <c r="C582" s="2"/>
      <c r="D582" s="2"/>
    </row>
    <row r="583" ht="15.75" customHeight="1">
      <c r="A583" s="2"/>
      <c r="B583" s="2"/>
      <c r="C583" s="2"/>
      <c r="D583" s="2"/>
    </row>
    <row r="584" ht="15.75" customHeight="1">
      <c r="A584" s="2"/>
      <c r="B584" s="2"/>
      <c r="C584" s="2"/>
      <c r="D584" s="2"/>
    </row>
    <row r="585" ht="15.75" customHeight="1">
      <c r="A585" s="2"/>
      <c r="B585" s="2"/>
      <c r="C585" s="2"/>
      <c r="D585" s="2"/>
    </row>
    <row r="586" ht="15.75" customHeight="1">
      <c r="A586" s="2"/>
      <c r="B586" s="2"/>
      <c r="C586" s="2"/>
      <c r="D586" s="2"/>
    </row>
    <row r="587" ht="15.75" customHeight="1">
      <c r="A587" s="2"/>
      <c r="B587" s="2"/>
      <c r="C587" s="2"/>
      <c r="D587" s="2"/>
    </row>
    <row r="588" ht="15.75" customHeight="1">
      <c r="A588" s="2"/>
      <c r="B588" s="2"/>
      <c r="C588" s="2"/>
      <c r="D588" s="2"/>
    </row>
    <row r="589" ht="15.75" customHeight="1">
      <c r="A589" s="2"/>
      <c r="B589" s="2"/>
      <c r="C589" s="2"/>
      <c r="D589" s="2"/>
    </row>
    <row r="590" ht="15.75" customHeight="1">
      <c r="A590" s="2"/>
      <c r="B590" s="2"/>
      <c r="C590" s="2"/>
      <c r="D590" s="2"/>
    </row>
    <row r="591" ht="15.75" customHeight="1">
      <c r="A591" s="2"/>
      <c r="B591" s="2"/>
      <c r="C591" s="2"/>
      <c r="D591" s="2"/>
    </row>
    <row r="592" ht="15.75" customHeight="1">
      <c r="A592" s="2"/>
      <c r="B592" s="2"/>
      <c r="C592" s="2"/>
      <c r="D592" s="2"/>
    </row>
    <row r="593" ht="15.75" customHeight="1">
      <c r="A593" s="2"/>
      <c r="B593" s="2"/>
      <c r="C593" s="2"/>
      <c r="D593" s="2"/>
    </row>
    <row r="594" ht="15.75" customHeight="1">
      <c r="A594" s="2"/>
      <c r="B594" s="2"/>
      <c r="C594" s="2"/>
      <c r="D594" s="2"/>
    </row>
    <row r="595" ht="15.75" customHeight="1">
      <c r="A595" s="2"/>
      <c r="B595" s="2"/>
      <c r="C595" s="2"/>
      <c r="D595" s="2"/>
    </row>
    <row r="596" ht="15.75" customHeight="1">
      <c r="A596" s="2"/>
      <c r="B596" s="2"/>
      <c r="C596" s="2"/>
      <c r="D596" s="2"/>
    </row>
    <row r="597" ht="15.75" customHeight="1">
      <c r="A597" s="2"/>
      <c r="B597" s="2"/>
      <c r="C597" s="2"/>
      <c r="D597" s="2"/>
    </row>
    <row r="598" ht="15.75" customHeight="1">
      <c r="A598" s="2"/>
      <c r="B598" s="2"/>
      <c r="C598" s="2"/>
      <c r="D598" s="2"/>
    </row>
    <row r="599" ht="15.75" customHeight="1">
      <c r="A599" s="2"/>
      <c r="B599" s="2"/>
      <c r="C599" s="2"/>
      <c r="D599" s="2"/>
    </row>
    <row r="600" ht="15.75" customHeight="1">
      <c r="A600" s="2"/>
      <c r="B600" s="2"/>
      <c r="C600" s="2"/>
      <c r="D600" s="2"/>
    </row>
    <row r="601" ht="15.75" customHeight="1">
      <c r="A601" s="2"/>
      <c r="B601" s="2"/>
      <c r="C601" s="2"/>
      <c r="D601" s="2"/>
    </row>
    <row r="602" ht="15.75" customHeight="1">
      <c r="A602" s="2"/>
      <c r="B602" s="2"/>
      <c r="C602" s="2"/>
      <c r="D602" s="2"/>
    </row>
    <row r="603" ht="15.75" customHeight="1">
      <c r="A603" s="2"/>
      <c r="B603" s="2"/>
      <c r="C603" s="2"/>
      <c r="D603" s="2"/>
    </row>
    <row r="604" ht="15.75" customHeight="1">
      <c r="A604" s="2"/>
      <c r="B604" s="2"/>
      <c r="C604" s="2"/>
      <c r="D604" s="2"/>
    </row>
    <row r="605" ht="15.75" customHeight="1">
      <c r="A605" s="2"/>
      <c r="B605" s="2"/>
      <c r="C605" s="2"/>
      <c r="D605" s="2"/>
    </row>
    <row r="606" ht="15.75" customHeight="1">
      <c r="A606" s="2"/>
      <c r="B606" s="2"/>
      <c r="C606" s="2"/>
      <c r="D606" s="2"/>
    </row>
    <row r="607" ht="15.75" customHeight="1">
      <c r="A607" s="2"/>
      <c r="B607" s="2"/>
      <c r="C607" s="2"/>
      <c r="D607" s="2"/>
    </row>
    <row r="608" ht="15.75" customHeight="1">
      <c r="A608" s="2"/>
      <c r="B608" s="2"/>
      <c r="C608" s="2"/>
      <c r="D608" s="2"/>
    </row>
    <row r="609" ht="15.75" customHeight="1">
      <c r="A609" s="2"/>
      <c r="B609" s="2"/>
      <c r="C609" s="2"/>
      <c r="D609" s="2"/>
    </row>
    <row r="610" ht="15.75" customHeight="1">
      <c r="A610" s="2"/>
      <c r="B610" s="2"/>
      <c r="C610" s="2"/>
      <c r="D610" s="2"/>
    </row>
    <row r="611" ht="15.75" customHeight="1">
      <c r="A611" s="2"/>
      <c r="B611" s="2"/>
      <c r="C611" s="2"/>
      <c r="D611" s="2"/>
    </row>
    <row r="612" ht="15.75" customHeight="1">
      <c r="A612" s="2"/>
      <c r="B612" s="2"/>
      <c r="C612" s="2"/>
      <c r="D612" s="2"/>
    </row>
    <row r="613" ht="15.75" customHeight="1">
      <c r="A613" s="2"/>
      <c r="B613" s="2"/>
      <c r="C613" s="2"/>
      <c r="D613" s="2"/>
    </row>
    <row r="614" ht="15.75" customHeight="1">
      <c r="A614" s="2"/>
      <c r="B614" s="2"/>
      <c r="C614" s="2"/>
      <c r="D614" s="2"/>
    </row>
    <row r="615" ht="15.75" customHeight="1">
      <c r="A615" s="2"/>
      <c r="B615" s="2"/>
      <c r="C615" s="2"/>
      <c r="D615" s="2"/>
    </row>
    <row r="616" ht="15.75" customHeight="1">
      <c r="A616" s="2"/>
      <c r="B616" s="2"/>
      <c r="C616" s="2"/>
      <c r="D616" s="2"/>
    </row>
    <row r="617" ht="15.75" customHeight="1">
      <c r="A617" s="2"/>
      <c r="B617" s="2"/>
      <c r="C617" s="2"/>
      <c r="D617" s="2"/>
    </row>
    <row r="618" ht="15.75" customHeight="1">
      <c r="A618" s="2"/>
      <c r="B618" s="2"/>
      <c r="C618" s="2"/>
      <c r="D618" s="2"/>
    </row>
    <row r="619" ht="15.75" customHeight="1">
      <c r="A619" s="2"/>
      <c r="B619" s="2"/>
      <c r="C619" s="2"/>
      <c r="D619" s="2"/>
    </row>
    <row r="620" ht="15.75" customHeight="1">
      <c r="A620" s="2"/>
      <c r="B620" s="2"/>
      <c r="C620" s="2"/>
      <c r="D620" s="2"/>
    </row>
    <row r="621" ht="15.75" customHeight="1">
      <c r="A621" s="2"/>
      <c r="B621" s="2"/>
      <c r="C621" s="2"/>
      <c r="D621" s="2"/>
    </row>
    <row r="622" ht="15.75" customHeight="1">
      <c r="A622" s="2"/>
      <c r="B622" s="2"/>
      <c r="C622" s="2"/>
      <c r="D622" s="2"/>
    </row>
    <row r="623" ht="15.75" customHeight="1">
      <c r="A623" s="2"/>
      <c r="B623" s="2"/>
      <c r="C623" s="2"/>
      <c r="D623" s="2"/>
    </row>
    <row r="624" ht="15.75" customHeight="1">
      <c r="A624" s="2"/>
      <c r="B624" s="2"/>
      <c r="C624" s="2"/>
      <c r="D624" s="2"/>
    </row>
    <row r="625" ht="15.75" customHeight="1">
      <c r="A625" s="2"/>
      <c r="B625" s="2"/>
      <c r="C625" s="2"/>
      <c r="D625" s="2"/>
    </row>
    <row r="626" ht="15.75" customHeight="1">
      <c r="A626" s="2"/>
      <c r="B626" s="2"/>
      <c r="C626" s="2"/>
      <c r="D626" s="2"/>
    </row>
    <row r="627" ht="15.75" customHeight="1">
      <c r="A627" s="2"/>
      <c r="B627" s="2"/>
      <c r="C627" s="2"/>
      <c r="D627" s="2"/>
    </row>
    <row r="628" ht="15.75" customHeight="1">
      <c r="A628" s="2"/>
      <c r="B628" s="2"/>
      <c r="C628" s="2"/>
      <c r="D628" s="2"/>
    </row>
    <row r="629" ht="15.75" customHeight="1">
      <c r="A629" s="2"/>
      <c r="B629" s="2"/>
      <c r="C629" s="2"/>
      <c r="D629" s="2"/>
    </row>
    <row r="630" ht="15.75" customHeight="1">
      <c r="A630" s="2"/>
      <c r="B630" s="2"/>
      <c r="C630" s="2"/>
      <c r="D630" s="2"/>
    </row>
    <row r="631" ht="15.75" customHeight="1">
      <c r="A631" s="2"/>
      <c r="B631" s="2"/>
      <c r="C631" s="2"/>
      <c r="D631" s="2"/>
    </row>
    <row r="632" ht="15.75" customHeight="1">
      <c r="A632" s="2"/>
      <c r="B632" s="2"/>
      <c r="C632" s="2"/>
      <c r="D632" s="2"/>
    </row>
    <row r="633" ht="15.75" customHeight="1">
      <c r="A633" s="2"/>
      <c r="B633" s="2"/>
      <c r="C633" s="2"/>
      <c r="D633" s="2"/>
    </row>
    <row r="634" ht="15.75" customHeight="1">
      <c r="A634" s="2"/>
      <c r="B634" s="2"/>
      <c r="C634" s="2"/>
      <c r="D634" s="2"/>
    </row>
    <row r="635" ht="15.75" customHeight="1">
      <c r="A635" s="2"/>
      <c r="B635" s="2"/>
      <c r="C635" s="2"/>
      <c r="D635" s="2"/>
    </row>
    <row r="636" ht="15.75" customHeight="1">
      <c r="A636" s="2"/>
      <c r="B636" s="2"/>
      <c r="C636" s="2"/>
      <c r="D636" s="2"/>
    </row>
    <row r="637" ht="15.75" customHeight="1">
      <c r="A637" s="2"/>
      <c r="B637" s="2"/>
      <c r="C637" s="2"/>
      <c r="D637" s="2"/>
    </row>
    <row r="638" ht="15.75" customHeight="1">
      <c r="A638" s="2"/>
      <c r="B638" s="2"/>
      <c r="C638" s="2"/>
      <c r="D638" s="2"/>
    </row>
    <row r="639" ht="15.75" customHeight="1">
      <c r="A639" s="2"/>
      <c r="B639" s="2"/>
      <c r="C639" s="2"/>
      <c r="D639" s="2"/>
    </row>
    <row r="640" ht="15.75" customHeight="1">
      <c r="A640" s="2"/>
      <c r="B640" s="2"/>
      <c r="C640" s="2"/>
      <c r="D640" s="2"/>
    </row>
    <row r="641" ht="15.75" customHeight="1">
      <c r="A641" s="2"/>
      <c r="B641" s="2"/>
      <c r="C641" s="2"/>
      <c r="D641" s="2"/>
    </row>
    <row r="642" ht="15.75" customHeight="1">
      <c r="A642" s="2"/>
      <c r="B642" s="2"/>
      <c r="C642" s="2"/>
      <c r="D642" s="2"/>
    </row>
    <row r="643" ht="15.75" customHeight="1">
      <c r="A643" s="2"/>
      <c r="B643" s="2"/>
      <c r="C643" s="2"/>
      <c r="D643" s="2"/>
    </row>
    <row r="644" ht="15.75" customHeight="1">
      <c r="A644" s="2"/>
      <c r="B644" s="2"/>
      <c r="C644" s="2"/>
      <c r="D644" s="2"/>
    </row>
    <row r="645" ht="15.75" customHeight="1">
      <c r="A645" s="2"/>
      <c r="B645" s="2"/>
      <c r="C645" s="2"/>
      <c r="D645" s="2"/>
    </row>
    <row r="646" ht="15.75" customHeight="1">
      <c r="A646" s="2"/>
      <c r="B646" s="2"/>
      <c r="C646" s="2"/>
      <c r="D646" s="2"/>
    </row>
    <row r="647" ht="15.75" customHeight="1">
      <c r="A647" s="2"/>
      <c r="B647" s="2"/>
      <c r="C647" s="2"/>
      <c r="D647" s="2"/>
    </row>
    <row r="648" ht="15.75" customHeight="1">
      <c r="A648" s="2"/>
      <c r="B648" s="2"/>
      <c r="C648" s="2"/>
      <c r="D648" s="2"/>
    </row>
    <row r="649" ht="15.75" customHeight="1">
      <c r="A649" s="2"/>
      <c r="B649" s="2"/>
      <c r="C649" s="2"/>
      <c r="D649" s="2"/>
    </row>
    <row r="650" ht="15.75" customHeight="1">
      <c r="A650" s="2"/>
      <c r="B650" s="2"/>
      <c r="C650" s="2"/>
      <c r="D650" s="2"/>
    </row>
    <row r="651" ht="15.75" customHeight="1">
      <c r="A651" s="2"/>
      <c r="B651" s="2"/>
      <c r="C651" s="2"/>
      <c r="D651" s="2"/>
    </row>
    <row r="652" ht="15.75" customHeight="1">
      <c r="A652" s="2"/>
      <c r="B652" s="2"/>
      <c r="C652" s="2"/>
      <c r="D652" s="2"/>
    </row>
    <row r="653" ht="15.75" customHeight="1">
      <c r="A653" s="2"/>
      <c r="B653" s="2"/>
      <c r="C653" s="2"/>
      <c r="D653" s="2"/>
    </row>
    <row r="654" ht="15.75" customHeight="1">
      <c r="A654" s="2"/>
      <c r="B654" s="2"/>
      <c r="C654" s="2"/>
      <c r="D654" s="2"/>
    </row>
    <row r="655" ht="15.75" customHeight="1">
      <c r="A655" s="2"/>
      <c r="B655" s="2"/>
      <c r="C655" s="2"/>
      <c r="D655" s="2"/>
    </row>
    <row r="656" ht="15.75" customHeight="1">
      <c r="A656" s="2"/>
      <c r="B656" s="2"/>
      <c r="C656" s="2"/>
      <c r="D656" s="2"/>
    </row>
    <row r="657" ht="15.75" customHeight="1">
      <c r="A657" s="2"/>
      <c r="B657" s="2"/>
      <c r="C657" s="2"/>
      <c r="D657" s="2"/>
    </row>
    <row r="658" ht="15.75" customHeight="1">
      <c r="A658" s="2"/>
      <c r="B658" s="2"/>
      <c r="C658" s="2"/>
      <c r="D658" s="2"/>
    </row>
    <row r="659" ht="15.75" customHeight="1">
      <c r="A659" s="2"/>
      <c r="B659" s="2"/>
      <c r="C659" s="2"/>
      <c r="D659" s="2"/>
    </row>
    <row r="660" ht="15.75" customHeight="1">
      <c r="A660" s="2"/>
      <c r="B660" s="2"/>
      <c r="C660" s="2"/>
      <c r="D660" s="2"/>
    </row>
    <row r="661" ht="15.75" customHeight="1">
      <c r="A661" s="2"/>
      <c r="B661" s="2"/>
      <c r="C661" s="2"/>
      <c r="D661" s="2"/>
    </row>
    <row r="662" ht="15.75" customHeight="1">
      <c r="A662" s="2"/>
      <c r="B662" s="2"/>
      <c r="C662" s="2"/>
      <c r="D662" s="2"/>
    </row>
    <row r="663" ht="15.75" customHeight="1">
      <c r="A663" s="2"/>
      <c r="B663" s="2"/>
      <c r="C663" s="2"/>
      <c r="D663" s="2"/>
    </row>
    <row r="664" ht="15.75" customHeight="1">
      <c r="A664" s="2"/>
      <c r="B664" s="2"/>
      <c r="C664" s="2"/>
      <c r="D664" s="2"/>
    </row>
    <row r="665" ht="15.75" customHeight="1">
      <c r="A665" s="2"/>
      <c r="B665" s="2"/>
      <c r="C665" s="2"/>
      <c r="D665" s="2"/>
    </row>
    <row r="666" ht="15.75" customHeight="1">
      <c r="A666" s="2"/>
      <c r="B666" s="2"/>
      <c r="C666" s="2"/>
      <c r="D666" s="2"/>
    </row>
    <row r="667" ht="15.75" customHeight="1">
      <c r="A667" s="2"/>
      <c r="B667" s="2"/>
      <c r="C667" s="2"/>
      <c r="D667" s="2"/>
    </row>
    <row r="668" ht="15.75" customHeight="1">
      <c r="A668" s="2"/>
      <c r="B668" s="2"/>
      <c r="C668" s="2"/>
      <c r="D668" s="2"/>
    </row>
    <row r="669" ht="15.75" customHeight="1">
      <c r="A669" s="2"/>
      <c r="B669" s="2"/>
      <c r="C669" s="2"/>
      <c r="D669" s="2"/>
    </row>
    <row r="670" ht="15.75" customHeight="1">
      <c r="A670" s="2"/>
      <c r="B670" s="2"/>
      <c r="C670" s="2"/>
      <c r="D670" s="2"/>
    </row>
    <row r="671" ht="15.75" customHeight="1">
      <c r="A671" s="2"/>
      <c r="B671" s="2"/>
      <c r="C671" s="2"/>
      <c r="D671" s="2"/>
    </row>
    <row r="672" ht="15.75" customHeight="1">
      <c r="A672" s="2"/>
      <c r="B672" s="2"/>
      <c r="C672" s="2"/>
      <c r="D672" s="2"/>
    </row>
    <row r="673" ht="15.75" customHeight="1">
      <c r="A673" s="2"/>
      <c r="B673" s="2"/>
      <c r="C673" s="2"/>
      <c r="D673" s="2"/>
    </row>
    <row r="674" ht="15.75" customHeight="1">
      <c r="A674" s="2"/>
      <c r="B674" s="2"/>
      <c r="C674" s="2"/>
      <c r="D674" s="2"/>
    </row>
    <row r="675" ht="15.75" customHeight="1">
      <c r="A675" s="2"/>
      <c r="B675" s="2"/>
      <c r="C675" s="2"/>
      <c r="D675" s="2"/>
    </row>
    <row r="676" ht="15.75" customHeight="1">
      <c r="A676" s="2"/>
      <c r="B676" s="2"/>
      <c r="C676" s="2"/>
      <c r="D676" s="2"/>
    </row>
    <row r="677" ht="15.75" customHeight="1">
      <c r="A677" s="2"/>
      <c r="B677" s="2"/>
      <c r="C677" s="2"/>
      <c r="D677" s="2"/>
    </row>
    <row r="678" ht="15.75" customHeight="1">
      <c r="A678" s="2"/>
      <c r="B678" s="2"/>
      <c r="C678" s="2"/>
      <c r="D678" s="2"/>
    </row>
    <row r="679" ht="15.75" customHeight="1">
      <c r="A679" s="2"/>
      <c r="B679" s="2"/>
      <c r="C679" s="2"/>
      <c r="D679" s="2"/>
    </row>
    <row r="680" ht="15.75" customHeight="1">
      <c r="A680" s="2"/>
      <c r="B680" s="2"/>
      <c r="C680" s="2"/>
      <c r="D680" s="2"/>
    </row>
    <row r="681" ht="15.75" customHeight="1">
      <c r="A681" s="2"/>
      <c r="B681" s="2"/>
      <c r="C681" s="2"/>
      <c r="D681" s="2"/>
    </row>
    <row r="682" ht="15.75" customHeight="1">
      <c r="A682" s="2"/>
      <c r="B682" s="2"/>
      <c r="C682" s="2"/>
      <c r="D682" s="2"/>
    </row>
    <row r="683" ht="15.75" customHeight="1">
      <c r="A683" s="2"/>
      <c r="B683" s="2"/>
      <c r="C683" s="2"/>
      <c r="D683" s="2"/>
    </row>
    <row r="684" ht="15.75" customHeight="1">
      <c r="A684" s="2"/>
      <c r="B684" s="2"/>
      <c r="C684" s="2"/>
      <c r="D684" s="2"/>
    </row>
    <row r="685" ht="15.75" customHeight="1">
      <c r="A685" s="2"/>
      <c r="B685" s="2"/>
      <c r="C685" s="2"/>
      <c r="D685" s="2"/>
    </row>
    <row r="686" ht="15.75" customHeight="1">
      <c r="A686" s="2"/>
      <c r="B686" s="2"/>
      <c r="C686" s="2"/>
      <c r="D686" s="2"/>
    </row>
    <row r="687" ht="15.75" customHeight="1">
      <c r="A687" s="2"/>
      <c r="B687" s="2"/>
      <c r="C687" s="2"/>
      <c r="D687" s="2"/>
    </row>
    <row r="688" ht="15.75" customHeight="1">
      <c r="A688" s="2"/>
      <c r="B688" s="2"/>
      <c r="C688" s="2"/>
      <c r="D688" s="2"/>
    </row>
    <row r="689" ht="15.75" customHeight="1">
      <c r="A689" s="2"/>
      <c r="B689" s="2"/>
      <c r="C689" s="2"/>
      <c r="D689" s="2"/>
    </row>
    <row r="690" ht="15.75" customHeight="1">
      <c r="A690" s="2"/>
      <c r="B690" s="2"/>
      <c r="C690" s="2"/>
      <c r="D690" s="2"/>
    </row>
    <row r="691" ht="15.75" customHeight="1">
      <c r="A691" s="2"/>
      <c r="B691" s="2"/>
      <c r="C691" s="2"/>
      <c r="D691" s="2"/>
    </row>
    <row r="692" ht="15.75" customHeight="1">
      <c r="A692" s="2"/>
      <c r="B692" s="2"/>
      <c r="C692" s="2"/>
      <c r="D692" s="2"/>
    </row>
    <row r="693" ht="15.75" customHeight="1">
      <c r="A693" s="2"/>
      <c r="B693" s="2"/>
      <c r="C693" s="2"/>
      <c r="D693" s="2"/>
    </row>
    <row r="694" ht="15.75" customHeight="1">
      <c r="A694" s="2"/>
      <c r="B694" s="2"/>
      <c r="C694" s="2"/>
      <c r="D694" s="2"/>
    </row>
    <row r="695" ht="15.75" customHeight="1">
      <c r="A695" s="2"/>
      <c r="B695" s="2"/>
      <c r="C695" s="2"/>
      <c r="D695" s="2"/>
    </row>
    <row r="696" ht="15.75" customHeight="1">
      <c r="A696" s="2"/>
      <c r="B696" s="2"/>
      <c r="C696" s="2"/>
      <c r="D696" s="2"/>
    </row>
    <row r="697" ht="15.75" customHeight="1">
      <c r="A697" s="2"/>
      <c r="B697" s="2"/>
      <c r="C697" s="2"/>
      <c r="D697" s="2"/>
    </row>
    <row r="698" ht="15.75" customHeight="1">
      <c r="A698" s="2"/>
      <c r="B698" s="2"/>
      <c r="C698" s="2"/>
      <c r="D698" s="2"/>
    </row>
    <row r="699" ht="15.75" customHeight="1">
      <c r="A699" s="2"/>
      <c r="B699" s="2"/>
      <c r="C699" s="2"/>
      <c r="D699" s="2"/>
    </row>
    <row r="700" ht="15.75" customHeight="1">
      <c r="A700" s="2"/>
      <c r="B700" s="2"/>
      <c r="C700" s="2"/>
      <c r="D700" s="2"/>
    </row>
    <row r="701" ht="15.75" customHeight="1">
      <c r="A701" s="2"/>
      <c r="B701" s="2"/>
      <c r="C701" s="2"/>
      <c r="D701" s="2"/>
    </row>
    <row r="702" ht="15.75" customHeight="1">
      <c r="A702" s="2"/>
      <c r="B702" s="2"/>
      <c r="C702" s="2"/>
      <c r="D702" s="2"/>
    </row>
    <row r="703" ht="15.75" customHeight="1">
      <c r="A703" s="2"/>
      <c r="B703" s="2"/>
      <c r="C703" s="2"/>
      <c r="D703" s="2"/>
    </row>
    <row r="704" ht="15.75" customHeight="1">
      <c r="A704" s="2"/>
      <c r="B704" s="2"/>
      <c r="C704" s="2"/>
      <c r="D704" s="2"/>
    </row>
    <row r="705" ht="15.75" customHeight="1">
      <c r="A705" s="2"/>
      <c r="B705" s="2"/>
      <c r="C705" s="2"/>
      <c r="D705" s="2"/>
    </row>
    <row r="706" ht="15.75" customHeight="1">
      <c r="A706" s="2"/>
      <c r="B706" s="2"/>
      <c r="C706" s="2"/>
      <c r="D706" s="2"/>
    </row>
    <row r="707" ht="15.75" customHeight="1">
      <c r="A707" s="2"/>
      <c r="B707" s="2"/>
      <c r="C707" s="2"/>
      <c r="D707" s="2"/>
    </row>
    <row r="708" ht="15.75" customHeight="1">
      <c r="A708" s="2"/>
      <c r="B708" s="2"/>
      <c r="C708" s="2"/>
      <c r="D708" s="2"/>
    </row>
    <row r="709" ht="15.75" customHeight="1">
      <c r="A709" s="2"/>
      <c r="B709" s="2"/>
      <c r="C709" s="2"/>
      <c r="D709" s="2"/>
    </row>
    <row r="710" ht="15.75" customHeight="1">
      <c r="A710" s="2"/>
      <c r="B710" s="2"/>
      <c r="C710" s="2"/>
      <c r="D710" s="2"/>
    </row>
    <row r="711" ht="15.75" customHeight="1">
      <c r="A711" s="2"/>
      <c r="B711" s="2"/>
      <c r="C711" s="2"/>
      <c r="D711" s="2"/>
    </row>
    <row r="712" ht="15.75" customHeight="1">
      <c r="A712" s="2"/>
      <c r="B712" s="2"/>
      <c r="C712" s="2"/>
      <c r="D712" s="2"/>
    </row>
    <row r="713" ht="15.75" customHeight="1">
      <c r="A713" s="2"/>
      <c r="B713" s="2"/>
      <c r="C713" s="2"/>
      <c r="D713" s="2"/>
    </row>
    <row r="714" ht="15.75" customHeight="1">
      <c r="A714" s="2"/>
      <c r="B714" s="2"/>
      <c r="C714" s="2"/>
      <c r="D714" s="2"/>
    </row>
    <row r="715" ht="15.75" customHeight="1">
      <c r="A715" s="2"/>
      <c r="B715" s="2"/>
      <c r="C715" s="2"/>
      <c r="D715" s="2"/>
    </row>
    <row r="716" ht="15.75" customHeight="1">
      <c r="A716" s="2"/>
      <c r="B716" s="2"/>
      <c r="C716" s="2"/>
      <c r="D716" s="2"/>
    </row>
    <row r="717" ht="15.75" customHeight="1">
      <c r="A717" s="2"/>
      <c r="B717" s="2"/>
      <c r="C717" s="2"/>
      <c r="D717" s="2"/>
    </row>
    <row r="718" ht="15.75" customHeight="1">
      <c r="A718" s="2"/>
      <c r="B718" s="2"/>
      <c r="C718" s="2"/>
      <c r="D718" s="2"/>
    </row>
    <row r="719" ht="15.75" customHeight="1">
      <c r="A719" s="2"/>
      <c r="B719" s="2"/>
      <c r="C719" s="2"/>
      <c r="D719" s="2"/>
    </row>
    <row r="720" ht="15.75" customHeight="1">
      <c r="A720" s="2"/>
      <c r="B720" s="2"/>
      <c r="C720" s="2"/>
      <c r="D720" s="2"/>
    </row>
    <row r="721" ht="15.75" customHeight="1">
      <c r="A721" s="2"/>
      <c r="B721" s="2"/>
      <c r="C721" s="2"/>
      <c r="D721" s="2"/>
    </row>
    <row r="722" ht="15.75" customHeight="1">
      <c r="A722" s="2"/>
      <c r="B722" s="2"/>
      <c r="C722" s="2"/>
      <c r="D722" s="2"/>
    </row>
    <row r="723" ht="15.75" customHeight="1">
      <c r="A723" s="2"/>
      <c r="B723" s="2"/>
      <c r="C723" s="2"/>
      <c r="D723" s="2"/>
    </row>
    <row r="724" ht="15.75" customHeight="1">
      <c r="A724" s="2"/>
      <c r="B724" s="2"/>
      <c r="C724" s="2"/>
      <c r="D724" s="2"/>
    </row>
    <row r="725" ht="15.75" customHeight="1">
      <c r="A725" s="2"/>
      <c r="B725" s="2"/>
      <c r="C725" s="2"/>
      <c r="D725" s="2"/>
    </row>
    <row r="726" ht="15.75" customHeight="1">
      <c r="A726" s="2"/>
      <c r="B726" s="2"/>
      <c r="C726" s="2"/>
      <c r="D726" s="2"/>
    </row>
    <row r="727" ht="15.75" customHeight="1">
      <c r="A727" s="2"/>
      <c r="B727" s="2"/>
      <c r="C727" s="2"/>
      <c r="D727" s="2"/>
    </row>
    <row r="728" ht="15.75" customHeight="1">
      <c r="A728" s="2"/>
      <c r="B728" s="2"/>
      <c r="C728" s="2"/>
      <c r="D728" s="2"/>
    </row>
    <row r="729" ht="15.75" customHeight="1">
      <c r="A729" s="2"/>
      <c r="B729" s="2"/>
      <c r="C729" s="2"/>
      <c r="D729" s="2"/>
    </row>
    <row r="730" ht="15.75" customHeight="1">
      <c r="A730" s="2"/>
      <c r="B730" s="2"/>
      <c r="C730" s="2"/>
      <c r="D730" s="2"/>
    </row>
    <row r="731" ht="15.75" customHeight="1">
      <c r="A731" s="2"/>
      <c r="B731" s="2"/>
      <c r="C731" s="2"/>
      <c r="D731" s="2"/>
    </row>
    <row r="732" ht="15.75" customHeight="1">
      <c r="A732" s="2"/>
      <c r="B732" s="2"/>
      <c r="C732" s="2"/>
      <c r="D732" s="2"/>
    </row>
    <row r="733" ht="15.75" customHeight="1">
      <c r="A733" s="2"/>
      <c r="B733" s="2"/>
      <c r="C733" s="2"/>
      <c r="D733" s="2"/>
    </row>
    <row r="734" ht="15.75" customHeight="1">
      <c r="A734" s="2"/>
      <c r="B734" s="2"/>
      <c r="C734" s="2"/>
      <c r="D734" s="2"/>
    </row>
    <row r="735" ht="15.75" customHeight="1">
      <c r="A735" s="2"/>
      <c r="B735" s="2"/>
      <c r="C735" s="2"/>
      <c r="D735" s="2"/>
    </row>
    <row r="736" ht="15.75" customHeight="1">
      <c r="A736" s="2"/>
      <c r="B736" s="2"/>
      <c r="C736" s="2"/>
      <c r="D736" s="2"/>
    </row>
    <row r="737" ht="15.75" customHeight="1">
      <c r="A737" s="2"/>
      <c r="B737" s="2"/>
      <c r="C737" s="2"/>
      <c r="D737" s="2"/>
    </row>
    <row r="738" ht="15.75" customHeight="1">
      <c r="A738" s="2"/>
      <c r="B738" s="2"/>
      <c r="C738" s="2"/>
      <c r="D738" s="2"/>
    </row>
    <row r="739" ht="15.75" customHeight="1">
      <c r="A739" s="2"/>
      <c r="B739" s="2"/>
      <c r="C739" s="2"/>
      <c r="D739" s="2"/>
    </row>
    <row r="740" ht="15.75" customHeight="1">
      <c r="A740" s="2"/>
      <c r="B740" s="2"/>
      <c r="C740" s="2"/>
      <c r="D740" s="2"/>
    </row>
    <row r="741" ht="15.75" customHeight="1">
      <c r="A741" s="2"/>
      <c r="B741" s="2"/>
      <c r="C741" s="2"/>
      <c r="D741" s="2"/>
    </row>
    <row r="742" ht="15.75" customHeight="1">
      <c r="A742" s="2"/>
      <c r="B742" s="2"/>
      <c r="C742" s="2"/>
      <c r="D742" s="2"/>
    </row>
    <row r="743" ht="15.75" customHeight="1">
      <c r="A743" s="2"/>
      <c r="B743" s="2"/>
      <c r="C743" s="2"/>
      <c r="D743" s="2"/>
    </row>
    <row r="744" ht="15.75" customHeight="1">
      <c r="A744" s="2"/>
      <c r="B744" s="2"/>
      <c r="C744" s="2"/>
      <c r="D744" s="2"/>
    </row>
    <row r="745" ht="15.75" customHeight="1">
      <c r="A745" s="2"/>
      <c r="B745" s="2"/>
      <c r="C745" s="2"/>
      <c r="D745" s="2"/>
    </row>
    <row r="746" ht="15.75" customHeight="1">
      <c r="A746" s="2"/>
      <c r="B746" s="2"/>
      <c r="C746" s="2"/>
      <c r="D746" s="2"/>
    </row>
    <row r="747" ht="15.75" customHeight="1">
      <c r="A747" s="2"/>
      <c r="B747" s="2"/>
      <c r="C747" s="2"/>
      <c r="D747" s="2"/>
    </row>
    <row r="748" ht="15.75" customHeight="1">
      <c r="A748" s="2"/>
      <c r="B748" s="2"/>
      <c r="C748" s="2"/>
      <c r="D748" s="2"/>
    </row>
    <row r="749" ht="15.75" customHeight="1">
      <c r="A749" s="2"/>
      <c r="B749" s="2"/>
      <c r="C749" s="2"/>
      <c r="D749" s="2"/>
    </row>
    <row r="750" ht="15.75" customHeight="1">
      <c r="A750" s="2"/>
      <c r="B750" s="2"/>
      <c r="C750" s="2"/>
      <c r="D750" s="2"/>
    </row>
    <row r="751" ht="15.75" customHeight="1">
      <c r="A751" s="2"/>
      <c r="B751" s="2"/>
      <c r="C751" s="2"/>
      <c r="D751" s="2"/>
    </row>
    <row r="752" ht="15.75" customHeight="1">
      <c r="A752" s="2"/>
      <c r="B752" s="2"/>
      <c r="C752" s="2"/>
      <c r="D752" s="2"/>
    </row>
    <row r="753" ht="15.75" customHeight="1">
      <c r="A753" s="2"/>
      <c r="B753" s="2"/>
      <c r="C753" s="2"/>
      <c r="D753" s="2"/>
    </row>
    <row r="754" ht="15.75" customHeight="1">
      <c r="A754" s="2"/>
      <c r="B754" s="2"/>
      <c r="C754" s="2"/>
      <c r="D754" s="2"/>
    </row>
    <row r="755" ht="15.75" customHeight="1">
      <c r="A755" s="2"/>
      <c r="B755" s="2"/>
      <c r="C755" s="2"/>
      <c r="D755" s="2"/>
    </row>
    <row r="756" ht="15.75" customHeight="1">
      <c r="A756" s="2"/>
      <c r="B756" s="2"/>
      <c r="C756" s="2"/>
      <c r="D756" s="2"/>
    </row>
    <row r="757" ht="15.75" customHeight="1">
      <c r="A757" s="2"/>
      <c r="B757" s="2"/>
      <c r="C757" s="2"/>
      <c r="D757" s="2"/>
    </row>
    <row r="758" ht="15.75" customHeight="1">
      <c r="A758" s="2"/>
      <c r="B758" s="2"/>
      <c r="C758" s="2"/>
      <c r="D758" s="2"/>
    </row>
    <row r="759" ht="15.75" customHeight="1">
      <c r="A759" s="2"/>
      <c r="B759" s="2"/>
      <c r="C759" s="2"/>
      <c r="D759" s="2"/>
    </row>
    <row r="760" ht="15.75" customHeight="1">
      <c r="A760" s="2"/>
      <c r="B760" s="2"/>
      <c r="C760" s="2"/>
      <c r="D760" s="2"/>
    </row>
    <row r="761" ht="15.75" customHeight="1">
      <c r="A761" s="2"/>
      <c r="B761" s="2"/>
      <c r="C761" s="2"/>
      <c r="D761" s="2"/>
    </row>
    <row r="762" ht="15.75" customHeight="1">
      <c r="A762" s="2"/>
      <c r="B762" s="2"/>
      <c r="C762" s="2"/>
      <c r="D762" s="2"/>
    </row>
    <row r="763" ht="15.75" customHeight="1">
      <c r="A763" s="2"/>
      <c r="B763" s="2"/>
      <c r="C763" s="2"/>
      <c r="D763" s="2"/>
    </row>
    <row r="764" ht="15.75" customHeight="1">
      <c r="A764" s="2"/>
      <c r="B764" s="2"/>
      <c r="C764" s="2"/>
      <c r="D764" s="2"/>
    </row>
    <row r="765" ht="15.75" customHeight="1">
      <c r="A765" s="2"/>
      <c r="B765" s="2"/>
      <c r="C765" s="2"/>
      <c r="D765" s="2"/>
    </row>
    <row r="766" ht="15.75" customHeight="1">
      <c r="A766" s="2"/>
      <c r="B766" s="2"/>
      <c r="C766" s="2"/>
      <c r="D766" s="2"/>
    </row>
    <row r="767" ht="15.75" customHeight="1">
      <c r="A767" s="2"/>
      <c r="B767" s="2"/>
      <c r="C767" s="2"/>
      <c r="D767" s="2"/>
    </row>
    <row r="768" ht="15.75" customHeight="1">
      <c r="A768" s="2"/>
      <c r="B768" s="2"/>
      <c r="C768" s="2"/>
      <c r="D768" s="2"/>
    </row>
    <row r="769" ht="15.75" customHeight="1">
      <c r="A769" s="2"/>
      <c r="B769" s="2"/>
      <c r="C769" s="2"/>
      <c r="D769" s="2"/>
    </row>
    <row r="770" ht="15.75" customHeight="1">
      <c r="A770" s="2"/>
      <c r="B770" s="2"/>
      <c r="C770" s="2"/>
      <c r="D770" s="2"/>
    </row>
    <row r="771" ht="15.75" customHeight="1">
      <c r="A771" s="2"/>
      <c r="B771" s="2"/>
      <c r="C771" s="2"/>
      <c r="D771" s="2"/>
    </row>
    <row r="772" ht="15.75" customHeight="1">
      <c r="A772" s="2"/>
      <c r="B772" s="2"/>
      <c r="C772" s="2"/>
      <c r="D772" s="2"/>
    </row>
    <row r="773" ht="15.75" customHeight="1">
      <c r="A773" s="2"/>
      <c r="B773" s="2"/>
      <c r="C773" s="2"/>
      <c r="D773" s="2"/>
    </row>
    <row r="774" ht="15.75" customHeight="1">
      <c r="A774" s="2"/>
      <c r="B774" s="2"/>
      <c r="C774" s="2"/>
      <c r="D774" s="2"/>
    </row>
    <row r="775" ht="15.75" customHeight="1">
      <c r="A775" s="2"/>
      <c r="B775" s="2"/>
      <c r="C775" s="2"/>
      <c r="D775" s="2"/>
    </row>
    <row r="776" ht="15.75" customHeight="1">
      <c r="A776" s="2"/>
      <c r="B776" s="2"/>
      <c r="C776" s="2"/>
      <c r="D776" s="2"/>
    </row>
    <row r="777" ht="15.75" customHeight="1">
      <c r="A777" s="2"/>
      <c r="B777" s="2"/>
      <c r="C777" s="2"/>
      <c r="D777" s="2"/>
    </row>
    <row r="778" ht="15.75" customHeight="1">
      <c r="A778" s="2"/>
      <c r="B778" s="2"/>
      <c r="C778" s="2"/>
      <c r="D778" s="2"/>
    </row>
    <row r="779" ht="15.75" customHeight="1">
      <c r="A779" s="2"/>
      <c r="B779" s="2"/>
      <c r="C779" s="2"/>
      <c r="D779" s="2"/>
    </row>
    <row r="780" ht="15.75" customHeight="1">
      <c r="A780" s="2"/>
      <c r="B780" s="2"/>
      <c r="C780" s="2"/>
      <c r="D780" s="2"/>
    </row>
    <row r="781" ht="15.75" customHeight="1">
      <c r="A781" s="2"/>
      <c r="B781" s="2"/>
      <c r="C781" s="2"/>
      <c r="D781" s="2"/>
    </row>
    <row r="782" ht="15.75" customHeight="1">
      <c r="A782" s="2"/>
      <c r="B782" s="2"/>
      <c r="C782" s="2"/>
      <c r="D782" s="2"/>
    </row>
    <row r="783" ht="15.75" customHeight="1">
      <c r="A783" s="2"/>
      <c r="B783" s="2"/>
      <c r="C783" s="2"/>
      <c r="D783" s="2"/>
    </row>
    <row r="784" ht="15.75" customHeight="1">
      <c r="A784" s="2"/>
      <c r="B784" s="2"/>
      <c r="C784" s="2"/>
      <c r="D784" s="2"/>
    </row>
    <row r="785" ht="15.75" customHeight="1">
      <c r="A785" s="2"/>
      <c r="B785" s="2"/>
      <c r="C785" s="2"/>
      <c r="D785" s="2"/>
    </row>
    <row r="786" ht="15.75" customHeight="1">
      <c r="A786" s="2"/>
      <c r="B786" s="2"/>
      <c r="C786" s="2"/>
      <c r="D786" s="2"/>
    </row>
    <row r="787" ht="15.75" customHeight="1">
      <c r="A787" s="2"/>
      <c r="B787" s="2"/>
      <c r="C787" s="2"/>
      <c r="D787" s="2"/>
    </row>
    <row r="788" ht="15.75" customHeight="1">
      <c r="A788" s="2"/>
      <c r="B788" s="2"/>
      <c r="C788" s="2"/>
      <c r="D788" s="2"/>
    </row>
    <row r="789" ht="15.75" customHeight="1">
      <c r="A789" s="2"/>
      <c r="B789" s="2"/>
      <c r="C789" s="2"/>
      <c r="D789" s="2"/>
    </row>
    <row r="790" ht="15.75" customHeight="1">
      <c r="A790" s="2"/>
      <c r="B790" s="2"/>
      <c r="C790" s="2"/>
      <c r="D790" s="2"/>
    </row>
    <row r="791" ht="15.75" customHeight="1">
      <c r="A791" s="2"/>
      <c r="B791" s="2"/>
      <c r="C791" s="2"/>
      <c r="D791" s="2"/>
    </row>
    <row r="792" ht="15.75" customHeight="1">
      <c r="A792" s="2"/>
      <c r="B792" s="2"/>
      <c r="C792" s="2"/>
      <c r="D792" s="2"/>
    </row>
    <row r="793" ht="15.75" customHeight="1">
      <c r="A793" s="2"/>
      <c r="B793" s="2"/>
      <c r="C793" s="2"/>
      <c r="D793" s="2"/>
    </row>
    <row r="794" ht="15.75" customHeight="1">
      <c r="A794" s="2"/>
      <c r="B794" s="2"/>
      <c r="C794" s="2"/>
      <c r="D794" s="2"/>
    </row>
    <row r="795" ht="15.75" customHeight="1">
      <c r="A795" s="2"/>
      <c r="B795" s="2"/>
      <c r="C795" s="2"/>
      <c r="D795" s="2"/>
    </row>
    <row r="796" ht="15.75" customHeight="1">
      <c r="A796" s="2"/>
      <c r="B796" s="2"/>
      <c r="C796" s="2"/>
      <c r="D796" s="2"/>
    </row>
    <row r="797" ht="15.75" customHeight="1">
      <c r="A797" s="2"/>
      <c r="B797" s="2"/>
      <c r="C797" s="2"/>
      <c r="D797" s="2"/>
    </row>
    <row r="798" ht="15.75" customHeight="1">
      <c r="A798" s="2"/>
      <c r="B798" s="2"/>
      <c r="C798" s="2"/>
      <c r="D798" s="2"/>
    </row>
    <row r="799" ht="15.75" customHeight="1">
      <c r="A799" s="2"/>
      <c r="B799" s="2"/>
      <c r="C799" s="2"/>
      <c r="D799" s="2"/>
    </row>
    <row r="800" ht="15.75" customHeight="1">
      <c r="A800" s="2"/>
      <c r="B800" s="2"/>
      <c r="C800" s="2"/>
      <c r="D800" s="2"/>
    </row>
    <row r="801" ht="15.75" customHeight="1">
      <c r="A801" s="2"/>
      <c r="B801" s="2"/>
      <c r="C801" s="2"/>
      <c r="D801" s="2"/>
    </row>
    <row r="802" ht="15.75" customHeight="1">
      <c r="A802" s="2"/>
      <c r="B802" s="2"/>
      <c r="C802" s="2"/>
      <c r="D802" s="2"/>
    </row>
    <row r="803" ht="15.75" customHeight="1">
      <c r="A803" s="2"/>
      <c r="B803" s="2"/>
      <c r="C803" s="2"/>
      <c r="D803" s="2"/>
    </row>
    <row r="804" ht="15.75" customHeight="1">
      <c r="A804" s="2"/>
      <c r="B804" s="2"/>
      <c r="C804" s="2"/>
      <c r="D804" s="2"/>
    </row>
    <row r="805" ht="15.75" customHeight="1">
      <c r="A805" s="2"/>
      <c r="B805" s="2"/>
      <c r="C805" s="2"/>
      <c r="D805" s="2"/>
    </row>
    <row r="806" ht="15.75" customHeight="1">
      <c r="A806" s="2"/>
      <c r="B806" s="2"/>
      <c r="C806" s="2"/>
      <c r="D806" s="2"/>
    </row>
    <row r="807" ht="15.75" customHeight="1">
      <c r="A807" s="2"/>
      <c r="B807" s="2"/>
      <c r="C807" s="2"/>
      <c r="D807" s="2"/>
    </row>
    <row r="808" ht="15.75" customHeight="1">
      <c r="A808" s="2"/>
      <c r="B808" s="2"/>
      <c r="C808" s="2"/>
      <c r="D808" s="2"/>
    </row>
    <row r="809" ht="15.75" customHeight="1">
      <c r="A809" s="2"/>
      <c r="B809" s="2"/>
      <c r="C809" s="2"/>
      <c r="D809" s="2"/>
    </row>
    <row r="810" ht="15.75" customHeight="1">
      <c r="A810" s="2"/>
      <c r="B810" s="2"/>
      <c r="C810" s="2"/>
      <c r="D810" s="2"/>
    </row>
    <row r="811" ht="15.75" customHeight="1">
      <c r="A811" s="2"/>
      <c r="B811" s="2"/>
      <c r="C811" s="2"/>
      <c r="D811" s="2"/>
    </row>
    <row r="812" ht="15.75" customHeight="1">
      <c r="A812" s="2"/>
      <c r="B812" s="2"/>
      <c r="C812" s="2"/>
      <c r="D812" s="2"/>
    </row>
    <row r="813" ht="15.75" customHeight="1">
      <c r="A813" s="2"/>
      <c r="B813" s="2"/>
      <c r="C813" s="2"/>
      <c r="D813" s="2"/>
    </row>
    <row r="814" ht="15.75" customHeight="1">
      <c r="A814" s="2"/>
      <c r="B814" s="2"/>
      <c r="C814" s="2"/>
      <c r="D814" s="2"/>
    </row>
    <row r="815" ht="15.75" customHeight="1">
      <c r="A815" s="2"/>
      <c r="B815" s="2"/>
      <c r="C815" s="2"/>
      <c r="D815" s="2"/>
    </row>
    <row r="816" ht="15.75" customHeight="1">
      <c r="A816" s="2"/>
      <c r="B816" s="2"/>
      <c r="C816" s="2"/>
      <c r="D816" s="2"/>
    </row>
    <row r="817" ht="15.75" customHeight="1">
      <c r="A817" s="2"/>
      <c r="B817" s="2"/>
      <c r="C817" s="2"/>
      <c r="D817" s="2"/>
    </row>
    <row r="818" ht="15.75" customHeight="1">
      <c r="A818" s="2"/>
      <c r="B818" s="2"/>
      <c r="C818" s="2"/>
      <c r="D818" s="2"/>
    </row>
    <row r="819" ht="15.75" customHeight="1">
      <c r="A819" s="2"/>
      <c r="B819" s="2"/>
      <c r="C819" s="2"/>
      <c r="D819" s="2"/>
    </row>
    <row r="820" ht="15.75" customHeight="1">
      <c r="A820" s="2"/>
      <c r="B820" s="2"/>
      <c r="C820" s="2"/>
      <c r="D820" s="2"/>
    </row>
    <row r="821" ht="15.75" customHeight="1">
      <c r="A821" s="2"/>
      <c r="B821" s="2"/>
      <c r="C821" s="2"/>
      <c r="D821" s="2"/>
    </row>
    <row r="822" ht="15.75" customHeight="1">
      <c r="A822" s="2"/>
      <c r="B822" s="2"/>
      <c r="C822" s="2"/>
      <c r="D822" s="2"/>
    </row>
    <row r="823" ht="15.75" customHeight="1">
      <c r="A823" s="2"/>
      <c r="B823" s="2"/>
      <c r="C823" s="2"/>
      <c r="D823" s="2"/>
    </row>
    <row r="824" ht="15.75" customHeight="1">
      <c r="A824" s="2"/>
      <c r="B824" s="2"/>
      <c r="C824" s="2"/>
      <c r="D824" s="2"/>
    </row>
    <row r="825" ht="15.75" customHeight="1">
      <c r="A825" s="2"/>
      <c r="B825" s="2"/>
      <c r="C825" s="2"/>
      <c r="D825" s="2"/>
    </row>
    <row r="826" ht="15.75" customHeight="1">
      <c r="A826" s="2"/>
      <c r="B826" s="2"/>
      <c r="C826" s="2"/>
      <c r="D826" s="2"/>
    </row>
    <row r="827" ht="15.75" customHeight="1">
      <c r="A827" s="2"/>
      <c r="B827" s="2"/>
      <c r="C827" s="2"/>
      <c r="D827" s="2"/>
    </row>
    <row r="828" ht="15.75" customHeight="1">
      <c r="A828" s="2"/>
      <c r="B828" s="2"/>
      <c r="C828" s="2"/>
      <c r="D828" s="2"/>
    </row>
    <row r="829" ht="15.75" customHeight="1">
      <c r="A829" s="2"/>
      <c r="B829" s="2"/>
      <c r="C829" s="2"/>
      <c r="D829" s="2"/>
    </row>
    <row r="830" ht="15.75" customHeight="1">
      <c r="A830" s="2"/>
      <c r="B830" s="2"/>
      <c r="C830" s="2"/>
      <c r="D830" s="2"/>
    </row>
    <row r="831" ht="15.75" customHeight="1">
      <c r="A831" s="2"/>
      <c r="B831" s="2"/>
      <c r="C831" s="2"/>
      <c r="D831" s="2"/>
    </row>
    <row r="832" ht="15.75" customHeight="1">
      <c r="A832" s="2"/>
      <c r="B832" s="2"/>
      <c r="C832" s="2"/>
      <c r="D832" s="2"/>
    </row>
    <row r="833" ht="15.75" customHeight="1">
      <c r="A833" s="2"/>
      <c r="B833" s="2"/>
      <c r="C833" s="2"/>
      <c r="D833" s="2"/>
    </row>
    <row r="834" ht="15.75" customHeight="1">
      <c r="A834" s="2"/>
      <c r="B834" s="2"/>
      <c r="C834" s="2"/>
      <c r="D834" s="2"/>
    </row>
    <row r="835" ht="15.75" customHeight="1">
      <c r="A835" s="2"/>
      <c r="B835" s="2"/>
      <c r="C835" s="2"/>
      <c r="D835" s="2"/>
    </row>
    <row r="836" ht="15.75" customHeight="1">
      <c r="A836" s="2"/>
      <c r="B836" s="2"/>
      <c r="C836" s="2"/>
      <c r="D836" s="2"/>
    </row>
    <row r="837" ht="15.75" customHeight="1">
      <c r="A837" s="2"/>
      <c r="B837" s="2"/>
      <c r="C837" s="2"/>
      <c r="D837" s="2"/>
    </row>
    <row r="838" ht="15.75" customHeight="1">
      <c r="A838" s="2"/>
      <c r="B838" s="2"/>
      <c r="C838" s="2"/>
      <c r="D838" s="2"/>
    </row>
    <row r="839" ht="15.75" customHeight="1">
      <c r="A839" s="2"/>
      <c r="B839" s="2"/>
      <c r="C839" s="2"/>
      <c r="D839" s="2"/>
    </row>
    <row r="840" ht="15.75" customHeight="1">
      <c r="A840" s="2"/>
      <c r="B840" s="2"/>
      <c r="C840" s="2"/>
      <c r="D840" s="2"/>
    </row>
    <row r="841" ht="15.75" customHeight="1">
      <c r="A841" s="2"/>
      <c r="B841" s="2"/>
      <c r="C841" s="2"/>
      <c r="D841" s="2"/>
    </row>
    <row r="842" ht="15.75" customHeight="1">
      <c r="A842" s="2"/>
      <c r="B842" s="2"/>
      <c r="C842" s="2"/>
      <c r="D842" s="2"/>
    </row>
    <row r="843" ht="15.75" customHeight="1">
      <c r="A843" s="2"/>
      <c r="B843" s="2"/>
      <c r="C843" s="2"/>
      <c r="D843" s="2"/>
    </row>
    <row r="844" ht="15.75" customHeight="1">
      <c r="A844" s="2"/>
      <c r="B844" s="2"/>
      <c r="C844" s="2"/>
      <c r="D844" s="2"/>
    </row>
    <row r="845" ht="15.75" customHeight="1">
      <c r="A845" s="2"/>
      <c r="B845" s="2"/>
      <c r="C845" s="2"/>
      <c r="D845" s="2"/>
    </row>
    <row r="846" ht="15.75" customHeight="1">
      <c r="A846" s="2"/>
      <c r="B846" s="2"/>
      <c r="C846" s="2"/>
      <c r="D846" s="2"/>
    </row>
    <row r="847" ht="15.75" customHeight="1">
      <c r="A847" s="2"/>
      <c r="B847" s="2"/>
      <c r="C847" s="2"/>
      <c r="D847" s="2"/>
    </row>
    <row r="848" ht="15.75" customHeight="1">
      <c r="A848" s="2"/>
      <c r="B848" s="2"/>
      <c r="C848" s="2"/>
      <c r="D848" s="2"/>
    </row>
    <row r="849" ht="15.75" customHeight="1">
      <c r="A849" s="2"/>
      <c r="B849" s="2"/>
      <c r="C849" s="2"/>
      <c r="D849" s="2"/>
    </row>
    <row r="850" ht="15.75" customHeight="1">
      <c r="A850" s="2"/>
      <c r="B850" s="2"/>
      <c r="C850" s="2"/>
      <c r="D850" s="2"/>
    </row>
    <row r="851" ht="15.75" customHeight="1">
      <c r="A851" s="2"/>
      <c r="B851" s="2"/>
      <c r="C851" s="2"/>
      <c r="D851" s="2"/>
    </row>
    <row r="852" ht="15.75" customHeight="1">
      <c r="A852" s="2"/>
      <c r="B852" s="2"/>
      <c r="C852" s="2"/>
      <c r="D852" s="2"/>
    </row>
    <row r="853" ht="15.75" customHeight="1">
      <c r="A853" s="2"/>
      <c r="B853" s="2"/>
      <c r="C853" s="2"/>
      <c r="D853" s="2"/>
    </row>
    <row r="854" ht="15.75" customHeight="1">
      <c r="A854" s="2"/>
      <c r="B854" s="2"/>
      <c r="C854" s="2"/>
      <c r="D854" s="2"/>
    </row>
    <row r="855" ht="15.75" customHeight="1">
      <c r="A855" s="2"/>
      <c r="B855" s="2"/>
      <c r="C855" s="2"/>
      <c r="D855" s="2"/>
    </row>
    <row r="856" ht="15.75" customHeight="1">
      <c r="A856" s="2"/>
      <c r="B856" s="2"/>
      <c r="C856" s="2"/>
      <c r="D856" s="2"/>
    </row>
    <row r="857" ht="15.75" customHeight="1">
      <c r="A857" s="2"/>
      <c r="B857" s="2"/>
      <c r="C857" s="2"/>
      <c r="D857" s="2"/>
    </row>
    <row r="858" ht="15.75" customHeight="1">
      <c r="A858" s="2"/>
      <c r="B858" s="2"/>
      <c r="C858" s="2"/>
      <c r="D858" s="2"/>
    </row>
    <row r="859" ht="15.75" customHeight="1">
      <c r="A859" s="2"/>
      <c r="B859" s="2"/>
      <c r="C859" s="2"/>
      <c r="D859" s="2"/>
    </row>
    <row r="860" ht="15.75" customHeight="1">
      <c r="A860" s="2"/>
      <c r="B860" s="2"/>
      <c r="C860" s="2"/>
      <c r="D860" s="2"/>
    </row>
    <row r="861" ht="15.75" customHeight="1">
      <c r="A861" s="2"/>
      <c r="B861" s="2"/>
      <c r="C861" s="2"/>
      <c r="D861" s="2"/>
    </row>
    <row r="862" ht="15.75" customHeight="1">
      <c r="A862" s="2"/>
      <c r="B862" s="2"/>
      <c r="C862" s="2"/>
      <c r="D862" s="2"/>
    </row>
    <row r="863" ht="15.75" customHeight="1">
      <c r="A863" s="2"/>
      <c r="B863" s="2"/>
      <c r="C863" s="2"/>
      <c r="D863" s="2"/>
    </row>
    <row r="864" ht="15.75" customHeight="1">
      <c r="A864" s="2"/>
      <c r="B864" s="2"/>
      <c r="C864" s="2"/>
      <c r="D864" s="2"/>
    </row>
    <row r="865" ht="15.75" customHeight="1">
      <c r="A865" s="2"/>
      <c r="B865" s="2"/>
      <c r="C865" s="2"/>
      <c r="D865" s="2"/>
    </row>
    <row r="866" ht="15.75" customHeight="1">
      <c r="A866" s="2"/>
      <c r="B866" s="2"/>
      <c r="C866" s="2"/>
      <c r="D866" s="2"/>
    </row>
    <row r="867" ht="15.75" customHeight="1">
      <c r="A867" s="2"/>
      <c r="B867" s="2"/>
      <c r="C867" s="2"/>
      <c r="D867" s="2"/>
    </row>
    <row r="868" ht="15.75" customHeight="1">
      <c r="A868" s="2"/>
      <c r="B868" s="2"/>
      <c r="C868" s="2"/>
      <c r="D868" s="2"/>
    </row>
    <row r="869" ht="15.75" customHeight="1">
      <c r="A869" s="2"/>
      <c r="B869" s="2"/>
      <c r="C869" s="2"/>
      <c r="D869" s="2"/>
    </row>
    <row r="870" ht="15.75" customHeight="1">
      <c r="A870" s="2"/>
      <c r="B870" s="2"/>
      <c r="C870" s="2"/>
      <c r="D870" s="2"/>
    </row>
    <row r="871" ht="15.75" customHeight="1">
      <c r="A871" s="2"/>
      <c r="B871" s="2"/>
      <c r="C871" s="2"/>
      <c r="D871" s="2"/>
    </row>
    <row r="872" ht="15.75" customHeight="1">
      <c r="A872" s="2"/>
      <c r="B872" s="2"/>
      <c r="C872" s="2"/>
      <c r="D872" s="2"/>
    </row>
    <row r="873" ht="15.75" customHeight="1">
      <c r="A873" s="2"/>
      <c r="B873" s="2"/>
      <c r="C873" s="2"/>
      <c r="D873" s="2"/>
    </row>
    <row r="874" ht="15.75" customHeight="1">
      <c r="A874" s="2"/>
      <c r="B874" s="2"/>
      <c r="C874" s="2"/>
      <c r="D874" s="2"/>
    </row>
    <row r="875" ht="15.75" customHeight="1">
      <c r="A875" s="2"/>
      <c r="B875" s="2"/>
      <c r="C875" s="2"/>
      <c r="D875" s="2"/>
    </row>
    <row r="876" ht="15.75" customHeight="1">
      <c r="A876" s="2"/>
      <c r="B876" s="2"/>
      <c r="C876" s="2"/>
      <c r="D876" s="2"/>
    </row>
    <row r="877" ht="15.75" customHeight="1">
      <c r="A877" s="2"/>
      <c r="B877" s="2"/>
      <c r="C877" s="2"/>
      <c r="D877" s="2"/>
    </row>
    <row r="878" ht="15.75" customHeight="1">
      <c r="A878" s="2"/>
      <c r="B878" s="2"/>
      <c r="C878" s="2"/>
      <c r="D878" s="2"/>
    </row>
    <row r="879" ht="15.75" customHeight="1">
      <c r="A879" s="2"/>
      <c r="B879" s="2"/>
      <c r="C879" s="2"/>
      <c r="D879" s="2"/>
    </row>
    <row r="880" ht="15.75" customHeight="1">
      <c r="A880" s="2"/>
      <c r="B880" s="2"/>
      <c r="C880" s="2"/>
      <c r="D880" s="2"/>
    </row>
    <row r="881" ht="15.75" customHeight="1">
      <c r="A881" s="2"/>
      <c r="B881" s="2"/>
      <c r="C881" s="2"/>
      <c r="D881" s="2"/>
    </row>
    <row r="882" ht="15.75" customHeight="1">
      <c r="A882" s="2"/>
      <c r="B882" s="2"/>
      <c r="C882" s="2"/>
      <c r="D882" s="2"/>
    </row>
    <row r="883" ht="15.75" customHeight="1">
      <c r="A883" s="2"/>
      <c r="B883" s="2"/>
      <c r="C883" s="2"/>
      <c r="D883" s="2"/>
    </row>
    <row r="884" ht="15.75" customHeight="1">
      <c r="A884" s="2"/>
      <c r="B884" s="2"/>
      <c r="C884" s="2"/>
      <c r="D884" s="2"/>
    </row>
    <row r="885" ht="15.75" customHeight="1">
      <c r="A885" s="2"/>
      <c r="B885" s="2"/>
      <c r="C885" s="2"/>
      <c r="D885" s="2"/>
    </row>
    <row r="886" ht="15.75" customHeight="1">
      <c r="A886" s="2"/>
      <c r="B886" s="2"/>
      <c r="C886" s="2"/>
      <c r="D886" s="2"/>
    </row>
    <row r="887" ht="15.75" customHeight="1">
      <c r="A887" s="2"/>
      <c r="B887" s="2"/>
      <c r="C887" s="2"/>
      <c r="D887" s="2"/>
    </row>
    <row r="888" ht="15.75" customHeight="1">
      <c r="A888" s="2"/>
      <c r="B888" s="2"/>
      <c r="C888" s="2"/>
      <c r="D888" s="2"/>
    </row>
    <row r="889" ht="15.75" customHeight="1">
      <c r="A889" s="2"/>
      <c r="B889" s="2"/>
      <c r="C889" s="2"/>
      <c r="D889" s="2"/>
    </row>
    <row r="890" ht="15.75" customHeight="1">
      <c r="A890" s="2"/>
      <c r="B890" s="2"/>
      <c r="C890" s="2"/>
      <c r="D890" s="2"/>
    </row>
    <row r="891" ht="15.75" customHeight="1">
      <c r="A891" s="2"/>
      <c r="B891" s="2"/>
      <c r="C891" s="2"/>
      <c r="D891" s="2"/>
    </row>
    <row r="892" ht="15.75" customHeight="1">
      <c r="A892" s="2"/>
      <c r="B892" s="2"/>
      <c r="C892" s="2"/>
      <c r="D892" s="2"/>
    </row>
    <row r="893" ht="15.75" customHeight="1">
      <c r="A893" s="2"/>
      <c r="B893" s="2"/>
      <c r="C893" s="2"/>
      <c r="D893" s="2"/>
    </row>
    <row r="894" ht="15.75" customHeight="1">
      <c r="A894" s="2"/>
      <c r="B894" s="2"/>
      <c r="C894" s="2"/>
      <c r="D894" s="2"/>
    </row>
    <row r="895" ht="15.75" customHeight="1">
      <c r="A895" s="2"/>
      <c r="B895" s="2"/>
      <c r="C895" s="2"/>
      <c r="D895" s="2"/>
    </row>
    <row r="896" ht="15.75" customHeight="1">
      <c r="A896" s="2"/>
      <c r="B896" s="2"/>
      <c r="C896" s="2"/>
      <c r="D896" s="2"/>
    </row>
    <row r="897" ht="15.75" customHeight="1">
      <c r="A897" s="2"/>
      <c r="B897" s="2"/>
      <c r="C897" s="2"/>
      <c r="D897" s="2"/>
    </row>
    <row r="898" ht="15.75" customHeight="1">
      <c r="A898" s="2"/>
      <c r="B898" s="2"/>
      <c r="C898" s="2"/>
      <c r="D898" s="2"/>
    </row>
    <row r="899" ht="15.75" customHeight="1">
      <c r="A899" s="2"/>
      <c r="B899" s="2"/>
      <c r="C899" s="2"/>
      <c r="D899" s="2"/>
    </row>
    <row r="900" ht="15.75" customHeight="1">
      <c r="A900" s="2"/>
      <c r="B900" s="2"/>
      <c r="C900" s="2"/>
      <c r="D900" s="2"/>
    </row>
    <row r="901" ht="15.75" customHeight="1">
      <c r="A901" s="2"/>
      <c r="B901" s="2"/>
      <c r="C901" s="2"/>
      <c r="D901" s="2"/>
    </row>
    <row r="902" ht="15.75" customHeight="1">
      <c r="A902" s="2"/>
      <c r="B902" s="2"/>
      <c r="C902" s="2"/>
      <c r="D902" s="2"/>
    </row>
    <row r="903" ht="15.75" customHeight="1">
      <c r="A903" s="2"/>
      <c r="B903" s="2"/>
      <c r="C903" s="2"/>
      <c r="D903" s="2"/>
    </row>
    <row r="904" ht="15.75" customHeight="1">
      <c r="A904" s="2"/>
      <c r="B904" s="2"/>
      <c r="C904" s="2"/>
      <c r="D904" s="2"/>
    </row>
    <row r="905" ht="15.75" customHeight="1">
      <c r="A905" s="2"/>
      <c r="B905" s="2"/>
      <c r="C905" s="2"/>
      <c r="D905" s="2"/>
    </row>
    <row r="906" ht="15.75" customHeight="1">
      <c r="A906" s="2"/>
      <c r="B906" s="2"/>
      <c r="C906" s="2"/>
      <c r="D906" s="2"/>
    </row>
    <row r="907" ht="15.75" customHeight="1">
      <c r="A907" s="2"/>
      <c r="B907" s="2"/>
      <c r="C907" s="2"/>
      <c r="D907" s="2"/>
    </row>
    <row r="908" ht="15.75" customHeight="1">
      <c r="A908" s="2"/>
      <c r="B908" s="2"/>
      <c r="C908" s="2"/>
      <c r="D908" s="2"/>
    </row>
    <row r="909" ht="15.75" customHeight="1">
      <c r="A909" s="2"/>
      <c r="B909" s="2"/>
      <c r="C909" s="2"/>
      <c r="D909" s="2"/>
    </row>
    <row r="910" ht="15.75" customHeight="1">
      <c r="A910" s="2"/>
      <c r="B910" s="2"/>
      <c r="C910" s="2"/>
      <c r="D910" s="2"/>
    </row>
    <row r="911" ht="15.75" customHeight="1">
      <c r="A911" s="2"/>
      <c r="B911" s="2"/>
      <c r="C911" s="2"/>
      <c r="D911" s="2"/>
    </row>
    <row r="912" ht="15.75" customHeight="1">
      <c r="A912" s="2"/>
      <c r="B912" s="2"/>
      <c r="C912" s="2"/>
      <c r="D912" s="2"/>
    </row>
    <row r="913" ht="15.75" customHeight="1">
      <c r="A913" s="2"/>
      <c r="B913" s="2"/>
      <c r="C913" s="2"/>
      <c r="D913" s="2"/>
    </row>
    <row r="914" ht="15.75" customHeight="1">
      <c r="A914" s="2"/>
      <c r="B914" s="2"/>
      <c r="C914" s="2"/>
      <c r="D914" s="2"/>
    </row>
    <row r="915" ht="15.75" customHeight="1">
      <c r="A915" s="2"/>
      <c r="B915" s="2"/>
      <c r="C915" s="2"/>
      <c r="D915" s="2"/>
    </row>
    <row r="916" ht="15.75" customHeight="1">
      <c r="A916" s="2"/>
      <c r="B916" s="2"/>
      <c r="C916" s="2"/>
      <c r="D916" s="2"/>
    </row>
    <row r="917" ht="15.75" customHeight="1">
      <c r="A917" s="2"/>
      <c r="B917" s="2"/>
      <c r="C917" s="2"/>
      <c r="D917" s="2"/>
    </row>
    <row r="918" ht="15.75" customHeight="1">
      <c r="A918" s="2"/>
      <c r="B918" s="2"/>
      <c r="C918" s="2"/>
      <c r="D918" s="2"/>
    </row>
    <row r="919" ht="15.75" customHeight="1">
      <c r="A919" s="2"/>
      <c r="B919" s="2"/>
      <c r="C919" s="2"/>
      <c r="D919" s="2"/>
    </row>
    <row r="920" ht="15.75" customHeight="1">
      <c r="A920" s="2"/>
      <c r="B920" s="2"/>
      <c r="C920" s="2"/>
      <c r="D920" s="2"/>
    </row>
    <row r="921" ht="15.75" customHeight="1">
      <c r="A921" s="2"/>
      <c r="B921" s="2"/>
      <c r="C921" s="2"/>
      <c r="D921" s="2"/>
    </row>
    <row r="922" ht="15.75" customHeight="1">
      <c r="A922" s="2"/>
      <c r="B922" s="2"/>
      <c r="C922" s="2"/>
      <c r="D922" s="2"/>
    </row>
    <row r="923" ht="15.75" customHeight="1">
      <c r="A923" s="2"/>
      <c r="B923" s="2"/>
      <c r="C923" s="2"/>
      <c r="D923" s="2"/>
    </row>
    <row r="924" ht="15.75" customHeight="1">
      <c r="A924" s="2"/>
      <c r="B924" s="2"/>
      <c r="C924" s="2"/>
      <c r="D924" s="2"/>
    </row>
    <row r="925" ht="15.75" customHeight="1">
      <c r="A925" s="2"/>
      <c r="B925" s="2"/>
      <c r="C925" s="2"/>
      <c r="D925" s="2"/>
    </row>
    <row r="926" ht="15.75" customHeight="1">
      <c r="A926" s="2"/>
      <c r="B926" s="2"/>
      <c r="C926" s="2"/>
      <c r="D926" s="2"/>
    </row>
    <row r="927" ht="15.75" customHeight="1">
      <c r="A927" s="2"/>
      <c r="B927" s="2"/>
      <c r="C927" s="2"/>
      <c r="D927" s="2"/>
    </row>
    <row r="928" ht="15.75" customHeight="1">
      <c r="A928" s="2"/>
      <c r="B928" s="2"/>
      <c r="C928" s="2"/>
      <c r="D928" s="2"/>
    </row>
    <row r="929" ht="15.75" customHeight="1">
      <c r="A929" s="2"/>
      <c r="B929" s="2"/>
      <c r="C929" s="2"/>
      <c r="D929" s="2"/>
    </row>
    <row r="930" ht="15.75" customHeight="1">
      <c r="A930" s="2"/>
      <c r="B930" s="2"/>
      <c r="C930" s="2"/>
      <c r="D930" s="2"/>
    </row>
    <row r="931" ht="15.75" customHeight="1">
      <c r="A931" s="2"/>
      <c r="B931" s="2"/>
      <c r="C931" s="2"/>
      <c r="D931" s="2"/>
    </row>
    <row r="932" ht="15.75" customHeight="1">
      <c r="A932" s="2"/>
      <c r="B932" s="2"/>
      <c r="C932" s="2"/>
      <c r="D932" s="2"/>
    </row>
    <row r="933" ht="15.75" customHeight="1">
      <c r="A933" s="2"/>
      <c r="B933" s="2"/>
      <c r="C933" s="2"/>
      <c r="D933" s="2"/>
    </row>
    <row r="934" ht="15.75" customHeight="1">
      <c r="A934" s="2"/>
      <c r="B934" s="2"/>
      <c r="C934" s="2"/>
      <c r="D934" s="2"/>
    </row>
    <row r="935" ht="15.75" customHeight="1">
      <c r="A935" s="2"/>
      <c r="B935" s="2"/>
      <c r="C935" s="2"/>
      <c r="D935" s="2"/>
    </row>
    <row r="936" ht="15.75" customHeight="1">
      <c r="A936" s="2"/>
      <c r="B936" s="2"/>
      <c r="C936" s="2"/>
      <c r="D936" s="2"/>
    </row>
    <row r="937" ht="15.75" customHeight="1">
      <c r="A937" s="2"/>
      <c r="B937" s="2"/>
      <c r="C937" s="2"/>
      <c r="D937" s="2"/>
    </row>
    <row r="938" ht="15.75" customHeight="1">
      <c r="A938" s="2"/>
      <c r="B938" s="2"/>
      <c r="C938" s="2"/>
      <c r="D938" s="2"/>
    </row>
    <row r="939" ht="15.75" customHeight="1">
      <c r="A939" s="2"/>
      <c r="B939" s="2"/>
      <c r="C939" s="2"/>
      <c r="D939" s="2"/>
    </row>
    <row r="940" ht="15.75" customHeight="1">
      <c r="A940" s="2"/>
      <c r="B940" s="2"/>
      <c r="C940" s="2"/>
      <c r="D940" s="2"/>
    </row>
    <row r="941" ht="15.75" customHeight="1">
      <c r="A941" s="2"/>
      <c r="B941" s="2"/>
      <c r="C941" s="2"/>
      <c r="D941" s="2"/>
    </row>
    <row r="942" ht="15.75" customHeight="1">
      <c r="A942" s="2"/>
      <c r="B942" s="2"/>
      <c r="C942" s="2"/>
      <c r="D942" s="2"/>
    </row>
    <row r="943" ht="15.75" customHeight="1">
      <c r="A943" s="2"/>
      <c r="B943" s="2"/>
      <c r="C943" s="2"/>
      <c r="D943" s="2"/>
    </row>
    <row r="944" ht="15.75" customHeight="1">
      <c r="A944" s="2"/>
      <c r="B944" s="2"/>
      <c r="C944" s="2"/>
      <c r="D944" s="2"/>
    </row>
    <row r="945" ht="15.75" customHeight="1">
      <c r="A945" s="2"/>
      <c r="B945" s="2"/>
      <c r="C945" s="2"/>
      <c r="D945" s="2"/>
    </row>
    <row r="946" ht="15.75" customHeight="1">
      <c r="A946" s="2"/>
      <c r="B946" s="2"/>
      <c r="C946" s="2"/>
      <c r="D946" s="2"/>
    </row>
    <row r="947" ht="15.75" customHeight="1">
      <c r="A947" s="2"/>
      <c r="B947" s="2"/>
      <c r="C947" s="2"/>
      <c r="D947" s="2"/>
    </row>
    <row r="948" ht="15.75" customHeight="1">
      <c r="A948" s="2"/>
      <c r="B948" s="2"/>
      <c r="C948" s="2"/>
      <c r="D948" s="2"/>
    </row>
    <row r="949" ht="15.75" customHeight="1">
      <c r="A949" s="2"/>
      <c r="B949" s="2"/>
      <c r="C949" s="2"/>
      <c r="D949" s="2"/>
    </row>
    <row r="950" ht="15.75" customHeight="1">
      <c r="A950" s="2"/>
      <c r="B950" s="2"/>
      <c r="C950" s="2"/>
      <c r="D950" s="2"/>
    </row>
    <row r="951" ht="15.75" customHeight="1">
      <c r="A951" s="2"/>
      <c r="B951" s="2"/>
      <c r="C951" s="2"/>
      <c r="D951" s="2"/>
    </row>
    <row r="952" ht="15.75" customHeight="1">
      <c r="A952" s="2"/>
      <c r="B952" s="2"/>
      <c r="C952" s="2"/>
      <c r="D952" s="2"/>
    </row>
    <row r="953" ht="15.75" customHeight="1">
      <c r="A953" s="2"/>
      <c r="B953" s="2"/>
      <c r="C953" s="2"/>
      <c r="D953" s="2"/>
    </row>
    <row r="954" ht="15.75" customHeight="1">
      <c r="A954" s="2"/>
      <c r="B954" s="2"/>
      <c r="C954" s="2"/>
      <c r="D954" s="2"/>
    </row>
    <row r="955" ht="15.75" customHeight="1">
      <c r="A955" s="2"/>
      <c r="B955" s="2"/>
      <c r="C955" s="2"/>
      <c r="D955" s="2"/>
    </row>
    <row r="956" ht="15.75" customHeight="1">
      <c r="A956" s="2"/>
      <c r="B956" s="2"/>
      <c r="C956" s="2"/>
      <c r="D956" s="2"/>
    </row>
    <row r="957" ht="15.75" customHeight="1">
      <c r="A957" s="2"/>
      <c r="B957" s="2"/>
      <c r="C957" s="2"/>
      <c r="D957" s="2"/>
    </row>
    <row r="958" ht="15.75" customHeight="1">
      <c r="A958" s="2"/>
      <c r="B958" s="2"/>
      <c r="C958" s="2"/>
      <c r="D958" s="2"/>
    </row>
    <row r="959" ht="15.75" customHeight="1">
      <c r="A959" s="2"/>
      <c r="B959" s="2"/>
      <c r="C959" s="2"/>
      <c r="D959" s="2"/>
    </row>
    <row r="960" ht="15.75" customHeight="1">
      <c r="A960" s="2"/>
      <c r="B960" s="2"/>
      <c r="C960" s="2"/>
      <c r="D960" s="2"/>
    </row>
    <row r="961" ht="15.75" customHeight="1">
      <c r="A961" s="2"/>
      <c r="B961" s="2"/>
      <c r="C961" s="2"/>
      <c r="D961" s="2"/>
    </row>
    <row r="962" ht="15.75" customHeight="1">
      <c r="A962" s="2"/>
      <c r="B962" s="2"/>
      <c r="C962" s="2"/>
      <c r="D962" s="2"/>
    </row>
    <row r="963" ht="15.75" customHeight="1">
      <c r="A963" s="2"/>
      <c r="B963" s="2"/>
      <c r="C963" s="2"/>
      <c r="D963" s="2"/>
    </row>
    <row r="964" ht="15.75" customHeight="1">
      <c r="A964" s="2"/>
      <c r="B964" s="2"/>
      <c r="C964" s="2"/>
      <c r="D964" s="2"/>
    </row>
    <row r="965" ht="15.75" customHeight="1">
      <c r="A965" s="2"/>
      <c r="B965" s="2"/>
      <c r="C965" s="2"/>
      <c r="D965" s="2"/>
    </row>
    <row r="966" ht="15.75" customHeight="1">
      <c r="A966" s="2"/>
      <c r="B966" s="2"/>
      <c r="C966" s="2"/>
      <c r="D966" s="2"/>
    </row>
    <row r="967" ht="15.75" customHeight="1">
      <c r="A967" s="2"/>
      <c r="B967" s="2"/>
      <c r="C967" s="2"/>
      <c r="D967" s="2"/>
    </row>
    <row r="968" ht="15.75" customHeight="1">
      <c r="A968" s="2"/>
      <c r="B968" s="2"/>
      <c r="C968" s="2"/>
      <c r="D968" s="2"/>
    </row>
    <row r="969" ht="15.75" customHeight="1">
      <c r="A969" s="2"/>
      <c r="B969" s="2"/>
      <c r="C969" s="2"/>
      <c r="D969" s="2"/>
    </row>
    <row r="970" ht="15.75" customHeight="1">
      <c r="A970" s="2"/>
      <c r="B970" s="2"/>
      <c r="C970" s="2"/>
      <c r="D970" s="2"/>
    </row>
    <row r="971" ht="15.75" customHeight="1">
      <c r="A971" s="2"/>
      <c r="B971" s="2"/>
      <c r="C971" s="2"/>
      <c r="D971" s="2"/>
    </row>
    <row r="972" ht="15.75" customHeight="1">
      <c r="A972" s="2"/>
      <c r="B972" s="2"/>
      <c r="C972" s="2"/>
      <c r="D972" s="2"/>
    </row>
    <row r="973" ht="15.75" customHeight="1">
      <c r="A973" s="2"/>
      <c r="B973" s="2"/>
      <c r="C973" s="2"/>
      <c r="D973" s="2"/>
    </row>
    <row r="974" ht="15.75" customHeight="1">
      <c r="A974" s="2"/>
      <c r="B974" s="2"/>
      <c r="C974" s="2"/>
      <c r="D974" s="2"/>
    </row>
    <row r="975" ht="15.75" customHeight="1">
      <c r="A975" s="2"/>
      <c r="B975" s="2"/>
      <c r="C975" s="2"/>
      <c r="D975" s="2"/>
    </row>
    <row r="976" ht="15.75" customHeight="1">
      <c r="A976" s="2"/>
      <c r="B976" s="2"/>
      <c r="C976" s="2"/>
      <c r="D976" s="2"/>
    </row>
    <row r="977" ht="15.75" customHeight="1">
      <c r="A977" s="2"/>
      <c r="B977" s="2"/>
      <c r="C977" s="2"/>
      <c r="D977" s="2"/>
    </row>
    <row r="978" ht="15.75" customHeight="1">
      <c r="A978" s="2"/>
      <c r="B978" s="2"/>
      <c r="C978" s="2"/>
      <c r="D978" s="2"/>
    </row>
    <row r="979" ht="15.75" customHeight="1">
      <c r="A979" s="2"/>
      <c r="B979" s="2"/>
      <c r="C979" s="2"/>
      <c r="D979" s="2"/>
    </row>
    <row r="980" ht="15.75" customHeight="1">
      <c r="A980" s="2"/>
      <c r="B980" s="2"/>
      <c r="C980" s="2"/>
      <c r="D980" s="2"/>
    </row>
    <row r="981" ht="15.75" customHeight="1">
      <c r="A981" s="2"/>
      <c r="B981" s="2"/>
      <c r="C981" s="2"/>
      <c r="D981" s="2"/>
    </row>
    <row r="982" ht="15.75" customHeight="1">
      <c r="A982" s="2"/>
      <c r="B982" s="2"/>
      <c r="C982" s="2"/>
      <c r="D982" s="2"/>
    </row>
    <row r="983" ht="15.75" customHeight="1">
      <c r="A983" s="2"/>
      <c r="B983" s="2"/>
      <c r="C983" s="2"/>
      <c r="D983" s="2"/>
    </row>
    <row r="984" ht="15.75" customHeight="1">
      <c r="A984" s="2"/>
      <c r="B984" s="2"/>
      <c r="C984" s="2"/>
      <c r="D984" s="2"/>
    </row>
    <row r="985" ht="15.75" customHeight="1">
      <c r="A985" s="2"/>
      <c r="B985" s="2"/>
      <c r="C985" s="2"/>
      <c r="D985" s="2"/>
    </row>
    <row r="986" ht="15.75" customHeight="1">
      <c r="A986" s="2"/>
      <c r="B986" s="2"/>
      <c r="C986" s="2"/>
      <c r="D986" s="2"/>
    </row>
    <row r="987" ht="15.75" customHeight="1">
      <c r="A987" s="2"/>
      <c r="B987" s="2"/>
      <c r="C987" s="2"/>
      <c r="D987" s="2"/>
    </row>
    <row r="988" ht="15.75" customHeight="1">
      <c r="A988" s="2"/>
      <c r="B988" s="2"/>
      <c r="C988" s="2"/>
      <c r="D988" s="2"/>
    </row>
    <row r="989" ht="15.75" customHeight="1">
      <c r="A989" s="2"/>
      <c r="B989" s="2"/>
      <c r="C989" s="2"/>
      <c r="D989" s="2"/>
    </row>
    <row r="990" ht="15.75" customHeight="1">
      <c r="A990" s="2"/>
      <c r="B990" s="2"/>
      <c r="C990" s="2"/>
      <c r="D990" s="2"/>
    </row>
    <row r="991" ht="15.75" customHeight="1">
      <c r="A991" s="2"/>
      <c r="B991" s="2"/>
      <c r="C991" s="2"/>
      <c r="D991" s="2"/>
    </row>
    <row r="992" ht="15.75" customHeight="1">
      <c r="A992" s="2"/>
      <c r="B992" s="2"/>
      <c r="C992" s="2"/>
      <c r="D992" s="2"/>
    </row>
    <row r="993" ht="15.75" customHeight="1">
      <c r="A993" s="2"/>
      <c r="B993" s="2"/>
      <c r="C993" s="2"/>
      <c r="D993" s="2"/>
    </row>
    <row r="994" ht="15.75" customHeight="1">
      <c r="A994" s="2"/>
      <c r="B994" s="2"/>
      <c r="C994" s="2"/>
      <c r="D994" s="2"/>
    </row>
    <row r="995" ht="15.75" customHeight="1">
      <c r="A995" s="2"/>
      <c r="B995" s="2"/>
      <c r="C995" s="2"/>
      <c r="D995" s="2"/>
    </row>
    <row r="996" ht="15.75" customHeight="1">
      <c r="A996" s="2"/>
      <c r="B996" s="2"/>
      <c r="C996" s="2"/>
      <c r="D996" s="2"/>
    </row>
    <row r="997" ht="15.75" customHeight="1">
      <c r="A997" s="2"/>
      <c r="B997" s="2"/>
      <c r="C997" s="2"/>
      <c r="D997" s="2"/>
    </row>
    <row r="998" ht="15.75" customHeight="1">
      <c r="A998" s="2"/>
      <c r="B998" s="2"/>
      <c r="C998" s="2"/>
      <c r="D998" s="2"/>
    </row>
    <row r="999" ht="15.75" customHeight="1">
      <c r="A999" s="2"/>
      <c r="B999" s="2"/>
      <c r="C999" s="2"/>
      <c r="D999" s="2"/>
    </row>
    <row r="1000" ht="15.75" customHeight="1">
      <c r="A1000" s="2"/>
      <c r="B1000" s="2"/>
      <c r="C1000" s="2"/>
      <c r="D1000" s="2"/>
    </row>
  </sheetData>
  <mergeCells count="2">
    <mergeCell ref="A1:D1"/>
    <mergeCell ref="A2:D2"/>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4.14"/>
    <col customWidth="1" min="2" max="2" width="12.0"/>
    <col customWidth="1" min="3" max="3" width="11.0"/>
    <col customWidth="1" min="4" max="4" width="95.29"/>
    <col customWidth="1" min="5" max="5" width="39.43"/>
    <col customWidth="1" min="6" max="6" width="62.57"/>
    <col customWidth="1" min="7" max="7" width="10.71"/>
  </cols>
  <sheetData>
    <row r="1" ht="19.5" customHeight="1">
      <c r="A1" s="14" t="s">
        <v>415</v>
      </c>
      <c r="H1" s="2"/>
      <c r="I1" s="2"/>
      <c r="J1" s="2"/>
      <c r="K1" s="2"/>
      <c r="L1" s="2"/>
      <c r="M1" s="2"/>
      <c r="N1" s="2"/>
      <c r="O1" s="2"/>
      <c r="P1" s="2"/>
      <c r="Q1" s="2"/>
      <c r="R1" s="2"/>
      <c r="S1" s="2"/>
      <c r="T1" s="2"/>
      <c r="U1" s="2"/>
      <c r="V1" s="2"/>
      <c r="W1" s="2"/>
      <c r="X1" s="2"/>
      <c r="Y1" s="2"/>
      <c r="Z1" s="2"/>
    </row>
    <row r="2" ht="25.5" customHeight="1">
      <c r="A2" s="15" t="s">
        <v>416</v>
      </c>
      <c r="H2" s="2"/>
      <c r="I2" s="2"/>
      <c r="J2" s="2"/>
      <c r="K2" s="2"/>
      <c r="L2" s="2"/>
      <c r="M2" s="2"/>
      <c r="N2" s="2"/>
      <c r="O2" s="2"/>
      <c r="P2" s="2"/>
      <c r="Q2" s="2"/>
      <c r="R2" s="2"/>
      <c r="S2" s="2"/>
      <c r="T2" s="2"/>
      <c r="U2" s="2"/>
      <c r="V2" s="2"/>
      <c r="W2" s="2"/>
      <c r="X2" s="2"/>
      <c r="Y2" s="2"/>
      <c r="Z2" s="2"/>
    </row>
    <row r="3" ht="15.0" customHeight="1">
      <c r="A3" s="2"/>
      <c r="B3" s="2"/>
      <c r="C3" s="2"/>
      <c r="D3" s="2"/>
      <c r="E3" s="2"/>
      <c r="F3" s="2"/>
      <c r="G3" s="2"/>
      <c r="H3" s="2"/>
      <c r="I3" s="2"/>
      <c r="J3" s="2"/>
      <c r="K3" s="2"/>
      <c r="L3" s="2"/>
      <c r="M3" s="2"/>
      <c r="N3" s="2"/>
      <c r="O3" s="2"/>
      <c r="P3" s="2"/>
      <c r="Q3" s="2"/>
      <c r="R3" s="2"/>
      <c r="S3" s="2"/>
      <c r="T3" s="2"/>
      <c r="U3" s="2"/>
      <c r="V3" s="2"/>
      <c r="W3" s="2"/>
      <c r="X3" s="2"/>
      <c r="Y3" s="2"/>
      <c r="Z3" s="2"/>
    </row>
    <row r="4" ht="30.0" customHeight="1">
      <c r="A4" s="16" t="s">
        <v>417</v>
      </c>
      <c r="B4" s="16" t="s">
        <v>418</v>
      </c>
      <c r="C4" s="16" t="s">
        <v>419</v>
      </c>
      <c r="D4" s="16" t="s">
        <v>420</v>
      </c>
      <c r="E4" s="16" t="s">
        <v>421</v>
      </c>
      <c r="F4" s="16" t="s">
        <v>422</v>
      </c>
      <c r="G4" s="16" t="s">
        <v>423</v>
      </c>
      <c r="H4" s="2"/>
      <c r="I4" s="2"/>
      <c r="J4" s="2"/>
      <c r="K4" s="2"/>
      <c r="L4" s="2"/>
      <c r="M4" s="2"/>
      <c r="N4" s="2"/>
      <c r="O4" s="2"/>
      <c r="P4" s="2"/>
      <c r="Q4" s="2"/>
      <c r="R4" s="2"/>
      <c r="S4" s="2"/>
      <c r="T4" s="2"/>
      <c r="U4" s="2"/>
      <c r="V4" s="2"/>
      <c r="W4" s="2"/>
      <c r="X4" s="2"/>
      <c r="Y4" s="2"/>
      <c r="Z4" s="2"/>
    </row>
    <row r="5" ht="57.0" customHeight="1">
      <c r="A5" s="17">
        <v>1.0</v>
      </c>
      <c r="B5" s="17" t="s">
        <v>424</v>
      </c>
      <c r="C5" s="17" t="s">
        <v>425</v>
      </c>
      <c r="D5" s="17" t="s">
        <v>426</v>
      </c>
      <c r="E5" s="17" t="s">
        <v>427</v>
      </c>
      <c r="F5" s="17" t="s">
        <v>428</v>
      </c>
      <c r="G5" s="17">
        <v>70.0</v>
      </c>
      <c r="H5" s="2"/>
      <c r="I5" s="2"/>
      <c r="J5" s="2"/>
      <c r="K5" s="2"/>
      <c r="L5" s="2"/>
      <c r="M5" s="2"/>
      <c r="N5" s="2"/>
      <c r="O5" s="2"/>
      <c r="P5" s="2"/>
      <c r="Q5" s="2"/>
      <c r="R5" s="2"/>
      <c r="S5" s="2"/>
      <c r="T5" s="2"/>
      <c r="U5" s="2"/>
      <c r="V5" s="2"/>
      <c r="W5" s="2"/>
      <c r="X5" s="2"/>
      <c r="Y5" s="2"/>
      <c r="Z5" s="2"/>
    </row>
    <row r="6" ht="57.0" customHeight="1">
      <c r="A6" s="19">
        <v>2.0</v>
      </c>
      <c r="B6" s="19" t="s">
        <v>429</v>
      </c>
      <c r="C6" s="19" t="s">
        <v>430</v>
      </c>
      <c r="D6" s="19" t="s">
        <v>431</v>
      </c>
      <c r="E6" s="19" t="s">
        <v>432</v>
      </c>
      <c r="F6" s="19" t="s">
        <v>433</v>
      </c>
      <c r="G6" s="19">
        <v>70.0</v>
      </c>
      <c r="H6" s="2"/>
      <c r="I6" s="2"/>
      <c r="J6" s="2"/>
      <c r="K6" s="2"/>
      <c r="L6" s="2"/>
      <c r="M6" s="2"/>
      <c r="N6" s="2"/>
      <c r="O6" s="2"/>
      <c r="P6" s="2"/>
      <c r="Q6" s="2"/>
      <c r="R6" s="2"/>
      <c r="S6" s="2"/>
      <c r="T6" s="2"/>
      <c r="U6" s="2"/>
      <c r="V6" s="2"/>
      <c r="W6" s="2"/>
      <c r="X6" s="2"/>
      <c r="Y6" s="2"/>
      <c r="Z6" s="2"/>
    </row>
    <row r="7" ht="57.0" customHeight="1">
      <c r="A7" s="17">
        <v>3.0</v>
      </c>
      <c r="B7" s="17" t="s">
        <v>434</v>
      </c>
      <c r="C7" s="17" t="s">
        <v>435</v>
      </c>
      <c r="D7" s="17" t="s">
        <v>436</v>
      </c>
      <c r="E7" s="17" t="s">
        <v>437</v>
      </c>
      <c r="F7" s="17" t="s">
        <v>438</v>
      </c>
      <c r="G7" s="17">
        <v>35.0</v>
      </c>
      <c r="H7" s="2"/>
      <c r="I7" s="2"/>
      <c r="J7" s="2"/>
      <c r="K7" s="2"/>
      <c r="L7" s="2"/>
      <c r="M7" s="2"/>
      <c r="N7" s="2"/>
      <c r="O7" s="2"/>
      <c r="P7" s="2"/>
      <c r="Q7" s="2"/>
      <c r="R7" s="2"/>
      <c r="S7" s="2"/>
      <c r="T7" s="2"/>
      <c r="U7" s="2"/>
      <c r="V7" s="2"/>
      <c r="W7" s="2"/>
      <c r="X7" s="2"/>
      <c r="Y7" s="2"/>
      <c r="Z7" s="2"/>
    </row>
    <row r="8" ht="57.0" customHeight="1">
      <c r="A8" s="29">
        <v>4.0</v>
      </c>
      <c r="B8" s="29" t="s">
        <v>439</v>
      </c>
      <c r="C8" s="29" t="s">
        <v>439</v>
      </c>
      <c r="D8" s="29" t="s">
        <v>440</v>
      </c>
      <c r="E8" s="29" t="s">
        <v>185</v>
      </c>
      <c r="F8" s="29" t="s">
        <v>441</v>
      </c>
      <c r="G8" s="29">
        <v>25.0</v>
      </c>
      <c r="H8" s="2"/>
      <c r="I8" s="2"/>
      <c r="J8" s="2"/>
      <c r="K8" s="2"/>
      <c r="L8" s="2"/>
      <c r="M8" s="2"/>
      <c r="N8" s="2"/>
      <c r="O8" s="2"/>
      <c r="P8" s="2"/>
      <c r="Q8" s="2"/>
      <c r="R8" s="2"/>
      <c r="S8" s="2"/>
      <c r="T8" s="2"/>
      <c r="U8" s="2"/>
      <c r="V8" s="2"/>
      <c r="W8" s="2"/>
      <c r="X8" s="2"/>
      <c r="Y8" s="2"/>
      <c r="Z8" s="2"/>
    </row>
    <row r="9" ht="2.25" customHeight="1">
      <c r="A9" s="30">
        <v>5.0</v>
      </c>
      <c r="B9" s="30"/>
      <c r="C9" s="30"/>
      <c r="D9" s="30"/>
      <c r="E9" s="30"/>
      <c r="F9" s="30"/>
      <c r="G9" s="30"/>
      <c r="H9" s="2"/>
      <c r="I9" s="2"/>
      <c r="J9" s="2"/>
      <c r="K9" s="2"/>
      <c r="L9" s="2"/>
      <c r="M9" s="2"/>
      <c r="N9" s="2"/>
      <c r="O9" s="2"/>
      <c r="P9" s="2"/>
      <c r="Q9" s="2"/>
      <c r="R9" s="2"/>
      <c r="S9" s="2"/>
      <c r="T9" s="2"/>
      <c r="U9" s="2"/>
      <c r="V9" s="2"/>
      <c r="W9" s="2"/>
      <c r="X9" s="2"/>
      <c r="Y9" s="2"/>
      <c r="Z9" s="2"/>
    </row>
    <row r="10" ht="2.25" customHeight="1">
      <c r="A10" s="30">
        <v>6.0</v>
      </c>
      <c r="B10" s="30"/>
      <c r="C10" s="30"/>
      <c r="D10" s="30"/>
      <c r="E10" s="30"/>
      <c r="F10" s="30"/>
      <c r="G10" s="30"/>
      <c r="H10" s="2"/>
      <c r="I10" s="2"/>
      <c r="J10" s="2"/>
      <c r="K10" s="2"/>
      <c r="L10" s="2"/>
      <c r="M10" s="2"/>
      <c r="N10" s="2"/>
      <c r="O10" s="2"/>
      <c r="P10" s="2"/>
      <c r="Q10" s="2"/>
      <c r="R10" s="2"/>
      <c r="S10" s="2"/>
      <c r="T10" s="2"/>
      <c r="U10" s="2"/>
      <c r="V10" s="2"/>
      <c r="W10" s="2"/>
      <c r="X10" s="2"/>
      <c r="Y10" s="2"/>
      <c r="Z10" s="2"/>
    </row>
    <row r="11" ht="2.25" customHeight="1">
      <c r="A11" s="30">
        <v>7.0</v>
      </c>
      <c r="B11" s="30"/>
      <c r="C11" s="30"/>
      <c r="D11" s="30"/>
      <c r="E11" s="30"/>
      <c r="F11" s="30"/>
      <c r="G11" s="30"/>
      <c r="H11" s="2"/>
      <c r="I11" s="2"/>
      <c r="J11" s="2"/>
      <c r="K11" s="2"/>
      <c r="L11" s="2"/>
      <c r="M11" s="2"/>
      <c r="N11" s="2"/>
      <c r="O11" s="2"/>
      <c r="P11" s="2"/>
      <c r="Q11" s="2"/>
      <c r="R11" s="2"/>
      <c r="S11" s="2"/>
      <c r="T11" s="2"/>
      <c r="U11" s="2"/>
      <c r="V11" s="2"/>
      <c r="W11" s="2"/>
      <c r="X11" s="2"/>
      <c r="Y11" s="2"/>
      <c r="Z11" s="2"/>
    </row>
    <row r="12" ht="2.25" customHeight="1">
      <c r="A12" s="30">
        <v>8.0</v>
      </c>
      <c r="B12" s="30"/>
      <c r="C12" s="30"/>
      <c r="D12" s="30"/>
      <c r="E12" s="30"/>
      <c r="F12" s="30"/>
      <c r="G12" s="30"/>
      <c r="H12" s="2"/>
      <c r="I12" s="2"/>
      <c r="J12" s="2"/>
      <c r="K12" s="2"/>
      <c r="L12" s="2"/>
      <c r="M12" s="2"/>
      <c r="N12" s="2"/>
      <c r="O12" s="2"/>
      <c r="P12" s="2"/>
      <c r="Q12" s="2"/>
      <c r="R12" s="2"/>
      <c r="S12" s="2"/>
      <c r="T12" s="2"/>
      <c r="U12" s="2"/>
      <c r="V12" s="2"/>
      <c r="W12" s="2"/>
      <c r="X12" s="2"/>
      <c r="Y12" s="2"/>
      <c r="Z12" s="2"/>
    </row>
    <row r="13" ht="1.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0"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0" customHeight="1">
      <c r="A15" s="31" t="s">
        <v>442</v>
      </c>
      <c r="B15" s="2"/>
      <c r="C15" s="2"/>
      <c r="D15" s="2"/>
      <c r="E15" s="2"/>
      <c r="F15" s="2"/>
      <c r="G15" s="2"/>
      <c r="H15" s="2"/>
      <c r="I15" s="2"/>
      <c r="J15" s="2"/>
      <c r="K15" s="2"/>
      <c r="L15" s="2"/>
      <c r="M15" s="2"/>
      <c r="N15" s="2"/>
      <c r="O15" s="2"/>
      <c r="P15" s="2"/>
      <c r="Q15" s="2"/>
      <c r="R15" s="2"/>
      <c r="S15" s="2"/>
      <c r="T15" s="2"/>
      <c r="U15" s="2"/>
      <c r="V15" s="2"/>
      <c r="W15" s="2"/>
      <c r="X15" s="2"/>
      <c r="Y15" s="2"/>
      <c r="Z15" s="2"/>
    </row>
    <row r="16" ht="24.75" customHeight="1">
      <c r="A16" s="17" t="s">
        <v>443</v>
      </c>
      <c r="B16" s="32">
        <v>1.0</v>
      </c>
      <c r="C16" s="2"/>
      <c r="D16" s="2"/>
      <c r="E16" s="2"/>
      <c r="F16" s="2"/>
      <c r="G16" s="2"/>
      <c r="H16" s="2"/>
      <c r="I16" s="2"/>
      <c r="J16" s="2"/>
      <c r="K16" s="2"/>
      <c r="L16" s="2"/>
      <c r="M16" s="2"/>
      <c r="N16" s="2"/>
      <c r="O16" s="2"/>
      <c r="P16" s="2"/>
      <c r="Q16" s="2"/>
      <c r="R16" s="2"/>
      <c r="S16" s="2"/>
      <c r="T16" s="2"/>
      <c r="U16" s="2"/>
      <c r="V16" s="2"/>
      <c r="W16" s="2"/>
      <c r="X16" s="2"/>
      <c r="Y16" s="2"/>
      <c r="Z16" s="2"/>
    </row>
    <row r="17" ht="24.75" customHeight="1">
      <c r="A17" s="17" t="s">
        <v>444</v>
      </c>
      <c r="B17" s="32">
        <v>25.0</v>
      </c>
      <c r="C17" s="2"/>
      <c r="D17" s="2"/>
      <c r="E17" s="2"/>
      <c r="F17" s="2"/>
      <c r="G17" s="2"/>
      <c r="H17" s="2"/>
      <c r="I17" s="2"/>
      <c r="J17" s="2"/>
      <c r="K17" s="2"/>
      <c r="L17" s="2"/>
      <c r="M17" s="2"/>
      <c r="N17" s="2"/>
      <c r="O17" s="2"/>
      <c r="P17" s="2"/>
      <c r="Q17" s="2"/>
      <c r="R17" s="2"/>
      <c r="S17" s="2"/>
      <c r="T17" s="2"/>
      <c r="U17" s="2"/>
      <c r="V17" s="2"/>
      <c r="W17" s="2"/>
      <c r="X17" s="2"/>
      <c r="Y17" s="2"/>
      <c r="Z17" s="2"/>
    </row>
    <row r="18" ht="24.75" customHeight="1">
      <c r="A18" s="17" t="s">
        <v>445</v>
      </c>
      <c r="B18" s="32">
        <v>9.0</v>
      </c>
      <c r="C18" s="2"/>
      <c r="D18" s="2"/>
      <c r="E18" s="2"/>
      <c r="F18" s="2"/>
      <c r="G18" s="2"/>
      <c r="H18" s="2"/>
      <c r="I18" s="2"/>
      <c r="J18" s="2"/>
      <c r="K18" s="2"/>
      <c r="L18" s="2"/>
      <c r="M18" s="2"/>
      <c r="N18" s="2"/>
      <c r="O18" s="2"/>
      <c r="P18" s="2"/>
      <c r="Q18" s="2"/>
      <c r="R18" s="2"/>
      <c r="S18" s="2"/>
      <c r="T18" s="2"/>
      <c r="U18" s="2"/>
      <c r="V18" s="2"/>
      <c r="W18" s="2"/>
      <c r="X18" s="2"/>
      <c r="Y18" s="2"/>
      <c r="Z18" s="2"/>
    </row>
    <row r="19" ht="24.75" customHeight="1">
      <c r="A19" s="33" t="s">
        <v>446</v>
      </c>
      <c r="B19" s="12">
        <f>IF(COUNT(B16:B18)=3,B16*B17*B18,"")</f>
        <v>225</v>
      </c>
      <c r="C19" s="2"/>
      <c r="D19" s="2"/>
      <c r="E19" s="2"/>
      <c r="F19" s="2"/>
      <c r="G19" s="2"/>
      <c r="H19" s="2"/>
      <c r="I19" s="2"/>
      <c r="J19" s="2"/>
      <c r="K19" s="2"/>
      <c r="L19" s="2"/>
      <c r="M19" s="2"/>
      <c r="N19" s="2"/>
      <c r="O19" s="2"/>
      <c r="P19" s="2"/>
      <c r="Q19" s="2"/>
      <c r="R19" s="2"/>
      <c r="S19" s="2"/>
      <c r="T19" s="2"/>
      <c r="U19" s="2"/>
      <c r="V19" s="2"/>
      <c r="W19" s="2"/>
      <c r="X19" s="2"/>
      <c r="Y19" s="2"/>
      <c r="Z19" s="2"/>
    </row>
    <row r="20" ht="24.75" customHeight="1">
      <c r="A20" s="17" t="s">
        <v>447</v>
      </c>
      <c r="B20" s="32">
        <v>15.0</v>
      </c>
      <c r="C20" s="2"/>
      <c r="D20" s="2"/>
      <c r="E20" s="2"/>
      <c r="F20" s="2"/>
      <c r="G20" s="2"/>
      <c r="H20" s="2"/>
      <c r="I20" s="2"/>
      <c r="J20" s="2"/>
      <c r="K20" s="2"/>
      <c r="L20" s="2"/>
      <c r="M20" s="2"/>
      <c r="N20" s="2"/>
      <c r="O20" s="2"/>
      <c r="P20" s="2"/>
      <c r="Q20" s="2"/>
      <c r="R20" s="2"/>
      <c r="S20" s="2"/>
      <c r="T20" s="2"/>
      <c r="U20" s="2"/>
      <c r="V20" s="2"/>
      <c r="W20" s="2"/>
      <c r="X20" s="2"/>
      <c r="Y20" s="2"/>
      <c r="Z20" s="2"/>
    </row>
    <row r="21" ht="24.75" customHeight="1">
      <c r="A21" s="33" t="s">
        <v>448</v>
      </c>
      <c r="B21" s="12">
        <f>IF(B19="","",B19-N(B20))</f>
        <v>210</v>
      </c>
      <c r="C21" s="2"/>
      <c r="D21" s="2"/>
      <c r="E21" s="2"/>
      <c r="F21" s="2"/>
      <c r="G21" s="2"/>
      <c r="H21" s="2"/>
      <c r="I21" s="2"/>
      <c r="J21" s="2"/>
      <c r="K21" s="2"/>
      <c r="L21" s="2"/>
      <c r="M21" s="2"/>
      <c r="N21" s="2"/>
      <c r="O21" s="2"/>
      <c r="P21" s="2"/>
      <c r="Q21" s="2"/>
      <c r="R21" s="2"/>
      <c r="S21" s="2"/>
      <c r="T21" s="2"/>
      <c r="U21" s="2"/>
      <c r="V21" s="2"/>
      <c r="W21" s="2"/>
      <c r="X21" s="2"/>
      <c r="Y21" s="2"/>
      <c r="Z21" s="2"/>
    </row>
    <row r="22" ht="24.75" customHeight="1">
      <c r="A22" s="33" t="s">
        <v>449</v>
      </c>
      <c r="B22" s="12">
        <f>SUM(G5:G12)</f>
        <v>200</v>
      </c>
      <c r="C22" s="2"/>
      <c r="D22" s="2"/>
      <c r="E22" s="2"/>
      <c r="F22" s="2"/>
      <c r="G22" s="2"/>
      <c r="H22" s="2"/>
      <c r="I22" s="2"/>
      <c r="J22" s="2"/>
      <c r="K22" s="2"/>
      <c r="L22" s="2"/>
      <c r="M22" s="2"/>
      <c r="N22" s="2"/>
      <c r="O22" s="2"/>
      <c r="P22" s="2"/>
      <c r="Q22" s="2"/>
      <c r="R22" s="2"/>
      <c r="S22" s="2"/>
      <c r="T22" s="2"/>
      <c r="U22" s="2"/>
      <c r="V22" s="2"/>
      <c r="W22" s="2"/>
      <c r="X22" s="2"/>
      <c r="Y22" s="2"/>
      <c r="Z22" s="2"/>
    </row>
    <row r="23" ht="24.75" customHeight="1">
      <c r="A23" s="33" t="s">
        <v>450</v>
      </c>
      <c r="B23" s="12">
        <f>IF(B21="","",B21-B22)</f>
        <v>10</v>
      </c>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31" t="s">
        <v>451</v>
      </c>
      <c r="B25" s="2"/>
      <c r="C25" s="2"/>
      <c r="D25" s="2"/>
      <c r="E25" s="2"/>
      <c r="F25" s="2"/>
      <c r="G25" s="2"/>
      <c r="H25" s="2"/>
      <c r="I25" s="2"/>
      <c r="J25" s="2"/>
      <c r="K25" s="2"/>
      <c r="L25" s="2"/>
      <c r="M25" s="2"/>
      <c r="N25" s="2"/>
      <c r="O25" s="2"/>
      <c r="P25" s="2"/>
      <c r="Q25" s="2"/>
      <c r="R25" s="2"/>
      <c r="S25" s="2"/>
      <c r="T25" s="2"/>
      <c r="U25" s="2"/>
      <c r="V25" s="2"/>
      <c r="W25" s="2"/>
      <c r="X25" s="2"/>
      <c r="Y25" s="2"/>
      <c r="Z25" s="2"/>
    </row>
    <row r="26" ht="48.0" customHeight="1">
      <c r="A26" s="33" t="s">
        <v>452</v>
      </c>
      <c r="B26" s="34" t="s">
        <v>453</v>
      </c>
      <c r="C26" s="35"/>
      <c r="D26" s="35"/>
      <c r="E26" s="35"/>
      <c r="F26" s="36"/>
      <c r="G26" s="2"/>
      <c r="H26" s="2"/>
      <c r="I26" s="2"/>
      <c r="J26" s="2"/>
      <c r="K26" s="2"/>
      <c r="L26" s="2"/>
      <c r="M26" s="2"/>
      <c r="N26" s="2"/>
      <c r="O26" s="2"/>
      <c r="P26" s="2"/>
      <c r="Q26" s="2"/>
      <c r="R26" s="2"/>
      <c r="S26" s="2"/>
      <c r="T26" s="2"/>
      <c r="U26" s="2"/>
      <c r="V26" s="2"/>
      <c r="W26" s="2"/>
      <c r="X26" s="2"/>
      <c r="Y26" s="2"/>
      <c r="Z26" s="2"/>
    </row>
    <row r="27" ht="25.5" customHeight="1">
      <c r="A27" s="33" t="s">
        <v>454</v>
      </c>
      <c r="B27" s="34" t="s">
        <v>455</v>
      </c>
      <c r="C27" s="35"/>
      <c r="D27" s="35"/>
      <c r="E27" s="35"/>
      <c r="F27" s="36"/>
      <c r="G27" s="2"/>
      <c r="H27" s="2"/>
      <c r="I27" s="2"/>
      <c r="J27" s="2"/>
      <c r="K27" s="2"/>
      <c r="L27" s="2"/>
      <c r="M27" s="2"/>
      <c r="N27" s="2"/>
      <c r="O27" s="2"/>
      <c r="P27" s="2"/>
      <c r="Q27" s="2"/>
      <c r="R27" s="2"/>
      <c r="S27" s="2"/>
      <c r="T27" s="2"/>
      <c r="U27" s="2"/>
      <c r="V27" s="2"/>
      <c r="W27" s="2"/>
      <c r="X27" s="2"/>
      <c r="Y27" s="2"/>
      <c r="Z27" s="2"/>
    </row>
    <row r="28" ht="25.5" customHeight="1">
      <c r="A28" s="33" t="s">
        <v>456</v>
      </c>
      <c r="B28" s="34" t="s">
        <v>457</v>
      </c>
      <c r="C28" s="35"/>
      <c r="D28" s="35"/>
      <c r="E28" s="35"/>
      <c r="F28" s="36"/>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mergeCells count="5">
    <mergeCell ref="A1:G1"/>
    <mergeCell ref="A2:G2"/>
    <mergeCell ref="B26:F26"/>
    <mergeCell ref="B27:F27"/>
    <mergeCell ref="B28:F28"/>
  </mergeCells>
  <printOptions/>
  <pageMargins bottom="1.0" footer="0.0" header="0.0" left="0.75" right="0.75" top="1.0"/>
  <pageSetup paperSize="9" orientation="portrait"/>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19.0"/>
    <col customWidth="1" min="2" max="2" width="52.0"/>
    <col customWidth="1" min="3" max="3" width="14.0"/>
    <col customWidth="1" min="4" max="4" width="11.0"/>
    <col customWidth="1" min="5" max="5" width="16.0"/>
    <col customWidth="1" min="6" max="6" width="15.0"/>
    <col customWidth="1" min="7" max="7" width="17.0"/>
    <col customWidth="1" min="8" max="8" width="15.0"/>
    <col customWidth="1" min="9" max="9" width="11.0"/>
    <col customWidth="1" min="10" max="10" width="110.0"/>
  </cols>
  <sheetData>
    <row r="1" ht="19.5" customHeight="1">
      <c r="A1" s="14" t="s">
        <v>458</v>
      </c>
      <c r="K1" s="2"/>
      <c r="L1" s="2"/>
      <c r="M1" s="2"/>
      <c r="N1" s="2"/>
      <c r="O1" s="2"/>
      <c r="P1" s="2"/>
      <c r="Q1" s="2"/>
      <c r="R1" s="2"/>
      <c r="S1" s="2"/>
      <c r="T1" s="2"/>
      <c r="U1" s="2"/>
      <c r="V1" s="2"/>
      <c r="W1" s="2"/>
      <c r="X1" s="2"/>
      <c r="Y1" s="2"/>
      <c r="Z1" s="2"/>
    </row>
    <row r="2" ht="48.0" customHeight="1">
      <c r="A2" s="3" t="s">
        <v>459</v>
      </c>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ht="30.0" customHeight="1">
      <c r="A4" s="16" t="s">
        <v>460</v>
      </c>
      <c r="B4" s="16" t="s">
        <v>461</v>
      </c>
      <c r="C4" s="16" t="s">
        <v>462</v>
      </c>
      <c r="D4" s="16" t="s">
        <v>463</v>
      </c>
      <c r="E4" s="16" t="s">
        <v>464</v>
      </c>
      <c r="F4" s="16" t="s">
        <v>465</v>
      </c>
      <c r="G4" s="16" t="s">
        <v>466</v>
      </c>
      <c r="H4" s="16" t="s">
        <v>467</v>
      </c>
      <c r="I4" s="16" t="s">
        <v>468</v>
      </c>
      <c r="J4" s="16" t="s">
        <v>469</v>
      </c>
      <c r="K4" s="2"/>
      <c r="L4" s="2"/>
      <c r="M4" s="2"/>
      <c r="N4" s="2"/>
      <c r="O4" s="2"/>
      <c r="P4" s="2"/>
      <c r="Q4" s="2"/>
      <c r="R4" s="2"/>
      <c r="S4" s="2"/>
      <c r="T4" s="2"/>
      <c r="U4" s="2"/>
      <c r="V4" s="2"/>
      <c r="W4" s="2"/>
      <c r="X4" s="2"/>
      <c r="Y4" s="2"/>
      <c r="Z4" s="2"/>
    </row>
    <row r="5" ht="18.0" customHeight="1">
      <c r="A5" s="37" t="s">
        <v>470</v>
      </c>
      <c r="B5" s="37"/>
      <c r="C5" s="37"/>
      <c r="D5" s="37"/>
      <c r="E5" s="37"/>
      <c r="F5" s="37"/>
      <c r="G5" s="37"/>
      <c r="H5" s="37"/>
      <c r="I5" s="37"/>
      <c r="J5" s="37"/>
      <c r="K5" s="2"/>
      <c r="L5" s="2"/>
      <c r="M5" s="2"/>
      <c r="N5" s="2"/>
      <c r="O5" s="2"/>
      <c r="P5" s="2"/>
      <c r="Q5" s="2"/>
      <c r="R5" s="2"/>
      <c r="S5" s="2"/>
      <c r="T5" s="2"/>
      <c r="U5" s="2"/>
      <c r="V5" s="2"/>
      <c r="W5" s="2"/>
      <c r="X5" s="2"/>
      <c r="Y5" s="2"/>
      <c r="Z5" s="2"/>
    </row>
    <row r="6" ht="15.0" customHeight="1">
      <c r="A6" s="38" t="s">
        <v>471</v>
      </c>
      <c r="B6" s="39"/>
      <c r="C6" s="39"/>
      <c r="D6" s="39"/>
      <c r="E6" s="39"/>
      <c r="F6" s="39"/>
      <c r="G6" s="39"/>
      <c r="H6" s="39"/>
      <c r="I6" s="39"/>
      <c r="J6" s="39"/>
      <c r="K6" s="2"/>
      <c r="L6" s="2"/>
      <c r="M6" s="2"/>
      <c r="N6" s="2"/>
      <c r="O6" s="2"/>
      <c r="P6" s="2"/>
      <c r="Q6" s="2"/>
      <c r="R6" s="2"/>
      <c r="S6" s="2"/>
      <c r="T6" s="2"/>
      <c r="U6" s="2"/>
      <c r="V6" s="2"/>
      <c r="W6" s="2"/>
      <c r="X6" s="2"/>
      <c r="Y6" s="2"/>
      <c r="Z6" s="2"/>
    </row>
    <row r="7" ht="52.5" customHeight="1">
      <c r="A7" s="40" t="s">
        <v>472</v>
      </c>
      <c r="B7" s="40" t="s">
        <v>473</v>
      </c>
      <c r="C7" s="41">
        <f>$C$77-$C$78-$C$79</f>
        <v>193</v>
      </c>
      <c r="D7" s="42" t="s">
        <v>474</v>
      </c>
      <c r="E7" s="43">
        <f t="shared" ref="E7:E9" si="1">$C$76</f>
        <v>21600</v>
      </c>
      <c r="F7" s="44">
        <f t="shared" ref="F7:F9" si="2">IF(E7="","",E7/$C$74)</f>
        <v>13.97951483</v>
      </c>
      <c r="G7" s="43">
        <f t="shared" ref="G7:G9" si="3">IF(OR(C7="",E7=""),"",C7*E7)</f>
        <v>4168800</v>
      </c>
      <c r="H7" s="44">
        <f t="shared" ref="H7:H9" si="4">IF(OR(C7="",F7=""),"",C7*F7)</f>
        <v>2698.046363</v>
      </c>
      <c r="I7" s="42" t="s">
        <v>475</v>
      </c>
      <c r="J7" s="40" t="s">
        <v>476</v>
      </c>
      <c r="K7" s="2"/>
      <c r="L7" s="2"/>
      <c r="M7" s="2"/>
      <c r="N7" s="2"/>
      <c r="O7" s="2"/>
      <c r="P7" s="2"/>
      <c r="Q7" s="2"/>
      <c r="R7" s="2"/>
      <c r="S7" s="2"/>
      <c r="T7" s="2"/>
      <c r="U7" s="2"/>
      <c r="V7" s="2"/>
      <c r="W7" s="2"/>
      <c r="X7" s="2"/>
      <c r="Y7" s="2"/>
      <c r="Z7" s="2"/>
    </row>
    <row r="8" ht="75.0" customHeight="1">
      <c r="A8" s="45" t="s">
        <v>472</v>
      </c>
      <c r="B8" s="45" t="s">
        <v>477</v>
      </c>
      <c r="C8" s="46">
        <f>$C$78</f>
        <v>3</v>
      </c>
      <c r="D8" s="47" t="s">
        <v>474</v>
      </c>
      <c r="E8" s="48">
        <f t="shared" si="1"/>
        <v>21600</v>
      </c>
      <c r="F8" s="49">
        <f t="shared" si="2"/>
        <v>13.97951483</v>
      </c>
      <c r="G8" s="48">
        <f t="shared" si="3"/>
        <v>64800</v>
      </c>
      <c r="H8" s="49">
        <f t="shared" si="4"/>
        <v>41.9385445</v>
      </c>
      <c r="I8" s="47" t="s">
        <v>475</v>
      </c>
      <c r="J8" s="45" t="s">
        <v>478</v>
      </c>
      <c r="K8" s="2"/>
      <c r="L8" s="2"/>
      <c r="M8" s="2"/>
      <c r="N8" s="2"/>
      <c r="O8" s="2"/>
      <c r="P8" s="2"/>
      <c r="Q8" s="2"/>
      <c r="R8" s="2"/>
      <c r="S8" s="2"/>
      <c r="T8" s="2"/>
      <c r="U8" s="2"/>
      <c r="V8" s="2"/>
      <c r="W8" s="2"/>
      <c r="X8" s="2"/>
      <c r="Y8" s="2"/>
      <c r="Z8" s="2"/>
    </row>
    <row r="9" ht="27.75" customHeight="1">
      <c r="A9" s="40" t="s">
        <v>472</v>
      </c>
      <c r="B9" s="40" t="s">
        <v>479</v>
      </c>
      <c r="C9" s="41">
        <f>$C$79</f>
        <v>4</v>
      </c>
      <c r="D9" s="42" t="s">
        <v>474</v>
      </c>
      <c r="E9" s="43">
        <f t="shared" si="1"/>
        <v>21600</v>
      </c>
      <c r="F9" s="44">
        <f t="shared" si="2"/>
        <v>13.97951483</v>
      </c>
      <c r="G9" s="43">
        <f t="shared" si="3"/>
        <v>86400</v>
      </c>
      <c r="H9" s="44">
        <f t="shared" si="4"/>
        <v>55.91805933</v>
      </c>
      <c r="I9" s="42" t="s">
        <v>475</v>
      </c>
      <c r="J9" s="40" t="s">
        <v>480</v>
      </c>
      <c r="K9" s="2"/>
      <c r="L9" s="2"/>
      <c r="M9" s="2"/>
      <c r="N9" s="2"/>
      <c r="O9" s="2"/>
      <c r="P9" s="2"/>
      <c r="Q9" s="2"/>
      <c r="R9" s="2"/>
      <c r="S9" s="2"/>
      <c r="T9" s="2"/>
      <c r="U9" s="2"/>
      <c r="V9" s="2"/>
      <c r="W9" s="2"/>
      <c r="X9" s="2"/>
      <c r="Y9" s="2"/>
      <c r="Z9" s="2"/>
    </row>
    <row r="10" ht="15.0" customHeight="1">
      <c r="A10" s="38" t="s">
        <v>481</v>
      </c>
      <c r="B10" s="39"/>
      <c r="C10" s="39"/>
      <c r="D10" s="39"/>
      <c r="E10" s="39"/>
      <c r="F10" s="39"/>
      <c r="G10" s="39"/>
      <c r="H10" s="39"/>
      <c r="I10" s="39"/>
      <c r="J10" s="39"/>
      <c r="K10" s="2"/>
      <c r="L10" s="2"/>
      <c r="M10" s="2"/>
      <c r="N10" s="2"/>
      <c r="O10" s="2"/>
      <c r="P10" s="2"/>
      <c r="Q10" s="2"/>
      <c r="R10" s="2"/>
      <c r="S10" s="2"/>
      <c r="T10" s="2"/>
      <c r="U10" s="2"/>
      <c r="V10" s="2"/>
      <c r="W10" s="2"/>
      <c r="X10" s="2"/>
      <c r="Y10" s="2"/>
      <c r="Z10" s="2"/>
    </row>
    <row r="11" ht="15.0" customHeight="1">
      <c r="A11" s="40" t="s">
        <v>482</v>
      </c>
      <c r="B11" s="40" t="s">
        <v>483</v>
      </c>
      <c r="C11" s="50">
        <v>1.0</v>
      </c>
      <c r="D11" s="42" t="s">
        <v>484</v>
      </c>
      <c r="E11" s="51">
        <v>0.0</v>
      </c>
      <c r="F11" s="52">
        <f t="shared" ref="F11:F15" si="5">IF(E11="","",E11/$C$74)</f>
        <v>0</v>
      </c>
      <c r="G11" s="43">
        <f t="shared" ref="G11:G16" si="6">IF(OR(C11="",E11=""),"",C11*E11)</f>
        <v>0</v>
      </c>
      <c r="H11" s="43">
        <f t="shared" ref="H11:H16" si="7">IF(OR(C11="",F11=""),"",C11*F11)</f>
        <v>0</v>
      </c>
      <c r="I11" s="42" t="s">
        <v>475</v>
      </c>
      <c r="J11" s="40" t="s">
        <v>485</v>
      </c>
      <c r="K11" s="2"/>
      <c r="L11" s="2"/>
      <c r="M11" s="2"/>
      <c r="N11" s="2"/>
      <c r="O11" s="2"/>
      <c r="P11" s="2"/>
      <c r="Q11" s="2"/>
      <c r="R11" s="2"/>
      <c r="S11" s="2"/>
      <c r="T11" s="2"/>
      <c r="U11" s="2"/>
      <c r="V11" s="2"/>
      <c r="W11" s="2"/>
      <c r="X11" s="2"/>
      <c r="Y11" s="2"/>
      <c r="Z11" s="2"/>
    </row>
    <row r="12" ht="15.0" customHeight="1">
      <c r="A12" s="45" t="s">
        <v>482</v>
      </c>
      <c r="B12" s="45" t="s">
        <v>486</v>
      </c>
      <c r="C12" s="53">
        <v>1.0</v>
      </c>
      <c r="D12" s="47" t="s">
        <v>484</v>
      </c>
      <c r="E12" s="54">
        <v>0.0</v>
      </c>
      <c r="F12" s="55">
        <f t="shared" si="5"/>
        <v>0</v>
      </c>
      <c r="G12" s="48">
        <f t="shared" si="6"/>
        <v>0</v>
      </c>
      <c r="H12" s="48">
        <f t="shared" si="7"/>
        <v>0</v>
      </c>
      <c r="I12" s="47" t="s">
        <v>475</v>
      </c>
      <c r="J12" s="45" t="s">
        <v>485</v>
      </c>
      <c r="K12" s="2"/>
      <c r="L12" s="2"/>
      <c r="M12" s="2"/>
      <c r="N12" s="2"/>
      <c r="O12" s="2"/>
      <c r="P12" s="2"/>
      <c r="Q12" s="2"/>
      <c r="R12" s="2"/>
      <c r="S12" s="2"/>
      <c r="T12" s="2"/>
      <c r="U12" s="2"/>
      <c r="V12" s="2"/>
      <c r="W12" s="2"/>
      <c r="X12" s="2"/>
      <c r="Y12" s="2"/>
      <c r="Z12" s="2"/>
    </row>
    <row r="13" ht="15.0" customHeight="1">
      <c r="A13" s="40" t="s">
        <v>482</v>
      </c>
      <c r="B13" s="40" t="s">
        <v>487</v>
      </c>
      <c r="C13" s="50">
        <v>1.0</v>
      </c>
      <c r="D13" s="42" t="s">
        <v>484</v>
      </c>
      <c r="E13" s="51">
        <v>0.0</v>
      </c>
      <c r="F13" s="52">
        <f t="shared" si="5"/>
        <v>0</v>
      </c>
      <c r="G13" s="43">
        <f t="shared" si="6"/>
        <v>0</v>
      </c>
      <c r="H13" s="43">
        <f t="shared" si="7"/>
        <v>0</v>
      </c>
      <c r="I13" s="42" t="s">
        <v>475</v>
      </c>
      <c r="J13" s="40" t="s">
        <v>488</v>
      </c>
      <c r="K13" s="2"/>
      <c r="L13" s="2"/>
      <c r="M13" s="2"/>
      <c r="N13" s="2"/>
      <c r="O13" s="2"/>
      <c r="P13" s="2"/>
      <c r="Q13" s="2"/>
      <c r="R13" s="2"/>
      <c r="S13" s="2"/>
      <c r="T13" s="2"/>
      <c r="U13" s="2"/>
      <c r="V13" s="2"/>
      <c r="W13" s="2"/>
      <c r="X13" s="2"/>
      <c r="Y13" s="2"/>
      <c r="Z13" s="2"/>
    </row>
    <row r="14" ht="15.0" customHeight="1">
      <c r="A14" s="45" t="s">
        <v>482</v>
      </c>
      <c r="B14" s="45" t="s">
        <v>489</v>
      </c>
      <c r="C14" s="53">
        <v>1.0</v>
      </c>
      <c r="D14" s="47" t="s">
        <v>490</v>
      </c>
      <c r="E14" s="54">
        <v>0.0</v>
      </c>
      <c r="F14" s="55">
        <f t="shared" si="5"/>
        <v>0</v>
      </c>
      <c r="G14" s="48">
        <f t="shared" si="6"/>
        <v>0</v>
      </c>
      <c r="H14" s="48">
        <f t="shared" si="7"/>
        <v>0</v>
      </c>
      <c r="I14" s="47" t="s">
        <v>475</v>
      </c>
      <c r="J14" s="45" t="s">
        <v>491</v>
      </c>
      <c r="K14" s="2"/>
      <c r="L14" s="2"/>
      <c r="M14" s="2"/>
      <c r="N14" s="2"/>
      <c r="O14" s="2"/>
      <c r="P14" s="2"/>
      <c r="Q14" s="2"/>
      <c r="R14" s="2"/>
      <c r="S14" s="2"/>
      <c r="T14" s="2"/>
      <c r="U14" s="2"/>
      <c r="V14" s="2"/>
      <c r="W14" s="2"/>
      <c r="X14" s="2"/>
      <c r="Y14" s="2"/>
      <c r="Z14" s="2"/>
    </row>
    <row r="15" ht="15.0" customHeight="1">
      <c r="A15" s="40" t="s">
        <v>482</v>
      </c>
      <c r="B15" s="40" t="s">
        <v>492</v>
      </c>
      <c r="C15" s="50">
        <v>1.0</v>
      </c>
      <c r="D15" s="42" t="s">
        <v>490</v>
      </c>
      <c r="E15" s="51">
        <v>0.0</v>
      </c>
      <c r="F15" s="52">
        <f t="shared" si="5"/>
        <v>0</v>
      </c>
      <c r="G15" s="43">
        <f t="shared" si="6"/>
        <v>0</v>
      </c>
      <c r="H15" s="43">
        <f t="shared" si="7"/>
        <v>0</v>
      </c>
      <c r="I15" s="42" t="s">
        <v>475</v>
      </c>
      <c r="J15" s="40" t="s">
        <v>493</v>
      </c>
      <c r="K15" s="2"/>
      <c r="L15" s="2"/>
      <c r="M15" s="2"/>
      <c r="N15" s="2"/>
      <c r="O15" s="2"/>
      <c r="P15" s="2"/>
      <c r="Q15" s="2"/>
      <c r="R15" s="2"/>
      <c r="S15" s="2"/>
      <c r="T15" s="2"/>
      <c r="U15" s="2"/>
      <c r="V15" s="2"/>
      <c r="W15" s="2"/>
      <c r="X15" s="2"/>
      <c r="Y15" s="2"/>
      <c r="Z15" s="2"/>
    </row>
    <row r="16" ht="40.5" customHeight="1">
      <c r="A16" s="45" t="s">
        <v>482</v>
      </c>
      <c r="B16" s="45" t="s">
        <v>494</v>
      </c>
      <c r="C16" s="53">
        <v>2.0</v>
      </c>
      <c r="D16" s="47" t="s">
        <v>495</v>
      </c>
      <c r="E16" s="56">
        <v>32704.46</v>
      </c>
      <c r="F16" s="57">
        <v>20.0</v>
      </c>
      <c r="G16" s="58">
        <f t="shared" si="6"/>
        <v>65408.92</v>
      </c>
      <c r="H16" s="55">
        <f t="shared" si="7"/>
        <v>40</v>
      </c>
      <c r="I16" s="47" t="s">
        <v>475</v>
      </c>
      <c r="J16" s="45" t="s">
        <v>496</v>
      </c>
      <c r="K16" s="2"/>
      <c r="L16" s="2"/>
      <c r="M16" s="2"/>
      <c r="N16" s="2"/>
      <c r="O16" s="2"/>
      <c r="P16" s="2"/>
      <c r="Q16" s="2"/>
      <c r="R16" s="2"/>
      <c r="S16" s="2"/>
      <c r="T16" s="2"/>
      <c r="U16" s="2"/>
      <c r="V16" s="2"/>
      <c r="W16" s="2"/>
      <c r="X16" s="2"/>
      <c r="Y16" s="2"/>
      <c r="Z16" s="2"/>
    </row>
    <row r="17" ht="15.0" customHeight="1">
      <c r="A17" s="38" t="s">
        <v>497</v>
      </c>
      <c r="B17" s="39"/>
      <c r="C17" s="39"/>
      <c r="D17" s="39"/>
      <c r="E17" s="39"/>
      <c r="F17" s="39"/>
      <c r="G17" s="39"/>
      <c r="H17" s="39"/>
      <c r="I17" s="39"/>
      <c r="J17" s="39"/>
      <c r="K17" s="2"/>
      <c r="L17" s="2"/>
      <c r="M17" s="2"/>
      <c r="N17" s="2"/>
      <c r="O17" s="2"/>
      <c r="P17" s="2"/>
      <c r="Q17" s="2"/>
      <c r="R17" s="2"/>
      <c r="S17" s="2"/>
      <c r="T17" s="2"/>
      <c r="U17" s="2"/>
      <c r="V17" s="2"/>
      <c r="W17" s="2"/>
      <c r="X17" s="2"/>
      <c r="Y17" s="2"/>
      <c r="Z17" s="2"/>
    </row>
    <row r="18" ht="27.75" customHeight="1">
      <c r="A18" s="40" t="s">
        <v>498</v>
      </c>
      <c r="B18" s="40" t="s">
        <v>499</v>
      </c>
      <c r="C18" s="59">
        <f t="shared" ref="C18:C20" si="8">$C$84/$C$85</f>
        <v>0.2086956522</v>
      </c>
      <c r="D18" s="42" t="s">
        <v>500</v>
      </c>
      <c r="E18" s="60">
        <f t="shared" ref="E18:E20" si="9">(2180+2217)/2</f>
        <v>2198.5</v>
      </c>
      <c r="F18" s="44">
        <f t="shared" ref="F18:F20" si="10">IF(E18="","",E18/$C$74)</f>
        <v>1.422868674</v>
      </c>
      <c r="G18" s="60">
        <f t="shared" ref="G18:G20" si="11">IF(OR(C18="",E18=""),"",C18*E18)</f>
        <v>458.8173913</v>
      </c>
      <c r="H18" s="44">
        <f t="shared" ref="H18:H20" si="12">IF(OR(C18="",F18=""),"",C18*F18)</f>
        <v>0.2969465059</v>
      </c>
      <c r="I18" s="42" t="s">
        <v>475</v>
      </c>
      <c r="J18" s="40" t="s">
        <v>501</v>
      </c>
      <c r="K18" s="2"/>
      <c r="L18" s="2"/>
      <c r="M18" s="2"/>
      <c r="N18" s="2"/>
      <c r="O18" s="2"/>
      <c r="P18" s="2"/>
      <c r="Q18" s="2"/>
      <c r="R18" s="2"/>
      <c r="S18" s="2"/>
      <c r="T18" s="2"/>
      <c r="U18" s="2"/>
      <c r="V18" s="2"/>
      <c r="W18" s="2"/>
      <c r="X18" s="2"/>
      <c r="Y18" s="2"/>
      <c r="Z18" s="2"/>
    </row>
    <row r="19" ht="40.5" customHeight="1">
      <c r="A19" s="45" t="s">
        <v>498</v>
      </c>
      <c r="B19" s="45" t="s">
        <v>502</v>
      </c>
      <c r="C19" s="61">
        <f t="shared" si="8"/>
        <v>0.2086956522</v>
      </c>
      <c r="D19" s="47" t="s">
        <v>500</v>
      </c>
      <c r="E19" s="56">
        <f t="shared" si="9"/>
        <v>2198.5</v>
      </c>
      <c r="F19" s="49">
        <f t="shared" si="10"/>
        <v>1.422868674</v>
      </c>
      <c r="G19" s="58">
        <f t="shared" si="11"/>
        <v>458.8173913</v>
      </c>
      <c r="H19" s="49">
        <f t="shared" si="12"/>
        <v>0.2969465059</v>
      </c>
      <c r="I19" s="47" t="s">
        <v>475</v>
      </c>
      <c r="J19" s="45" t="s">
        <v>503</v>
      </c>
      <c r="K19" s="2"/>
      <c r="L19" s="2"/>
      <c r="M19" s="2"/>
      <c r="N19" s="2"/>
      <c r="O19" s="2"/>
      <c r="P19" s="2"/>
      <c r="Q19" s="2"/>
      <c r="R19" s="2"/>
      <c r="S19" s="2"/>
      <c r="T19" s="2"/>
      <c r="U19" s="2"/>
      <c r="V19" s="2"/>
      <c r="W19" s="2"/>
      <c r="X19" s="2"/>
      <c r="Y19" s="2"/>
      <c r="Z19" s="2"/>
    </row>
    <row r="20" ht="60.0" customHeight="1">
      <c r="A20" s="45" t="s">
        <v>498</v>
      </c>
      <c r="B20" s="45" t="s">
        <v>504</v>
      </c>
      <c r="C20" s="61">
        <f t="shared" si="8"/>
        <v>0.2086956522</v>
      </c>
      <c r="D20" s="47" t="s">
        <v>500</v>
      </c>
      <c r="E20" s="56">
        <f t="shared" si="9"/>
        <v>2198.5</v>
      </c>
      <c r="F20" s="49">
        <f t="shared" si="10"/>
        <v>1.422868674</v>
      </c>
      <c r="G20" s="58">
        <f t="shared" si="11"/>
        <v>458.8173913</v>
      </c>
      <c r="H20" s="49">
        <f t="shared" si="12"/>
        <v>0.2969465059</v>
      </c>
      <c r="I20" s="47" t="s">
        <v>475</v>
      </c>
      <c r="J20" s="45" t="s">
        <v>505</v>
      </c>
      <c r="K20" s="2"/>
      <c r="L20" s="2"/>
      <c r="M20" s="2"/>
      <c r="N20" s="2"/>
      <c r="O20" s="2"/>
      <c r="P20" s="2"/>
      <c r="Q20" s="2"/>
      <c r="R20" s="2"/>
      <c r="S20" s="2"/>
      <c r="T20" s="2"/>
      <c r="U20" s="2"/>
      <c r="V20" s="2"/>
      <c r="W20" s="2"/>
      <c r="X20" s="2"/>
      <c r="Y20" s="2"/>
      <c r="Z20" s="2"/>
    </row>
    <row r="21" ht="15.75" customHeight="1">
      <c r="A21" s="62"/>
      <c r="B21" s="62" t="s">
        <v>506</v>
      </c>
      <c r="C21" s="62"/>
      <c r="D21" s="62"/>
      <c r="E21" s="62"/>
      <c r="F21" s="62"/>
      <c r="G21" s="63">
        <f t="shared" ref="G21:H21" si="13">SUM(G6:G20)</f>
        <v>4386785.372</v>
      </c>
      <c r="H21" s="64">
        <f t="shared" si="13"/>
        <v>2836.793806</v>
      </c>
      <c r="I21" s="62"/>
      <c r="J21" s="62"/>
      <c r="K21" s="2"/>
      <c r="L21" s="2"/>
      <c r="M21" s="2"/>
      <c r="N21" s="2"/>
      <c r="O21" s="2"/>
      <c r="P21" s="2"/>
      <c r="Q21" s="2"/>
      <c r="R21" s="2"/>
      <c r="S21" s="2"/>
      <c r="T21" s="2"/>
      <c r="U21" s="2"/>
      <c r="V21" s="2"/>
      <c r="W21" s="2"/>
      <c r="X21" s="2"/>
      <c r="Y21" s="2"/>
      <c r="Z21" s="2"/>
    </row>
    <row r="22" ht="18.0" customHeight="1">
      <c r="A22" s="37" t="s">
        <v>507</v>
      </c>
      <c r="B22" s="37"/>
      <c r="C22" s="37"/>
      <c r="D22" s="37"/>
      <c r="E22" s="37"/>
      <c r="F22" s="37"/>
      <c r="G22" s="37"/>
      <c r="H22" s="37"/>
      <c r="I22" s="37"/>
      <c r="J22" s="37"/>
      <c r="K22" s="2"/>
      <c r="L22" s="2"/>
      <c r="M22" s="2"/>
      <c r="N22" s="2"/>
      <c r="O22" s="2"/>
      <c r="P22" s="2"/>
      <c r="Q22" s="2"/>
      <c r="R22" s="2"/>
      <c r="S22" s="2"/>
      <c r="T22" s="2"/>
      <c r="U22" s="2"/>
      <c r="V22" s="2"/>
      <c r="W22" s="2"/>
      <c r="X22" s="2"/>
      <c r="Y22" s="2"/>
      <c r="Z22" s="2"/>
    </row>
    <row r="23" ht="15.0" customHeight="1">
      <c r="A23" s="38" t="s">
        <v>508</v>
      </c>
      <c r="B23" s="39"/>
      <c r="C23" s="39"/>
      <c r="D23" s="39"/>
      <c r="E23" s="39"/>
      <c r="F23" s="39"/>
      <c r="G23" s="39"/>
      <c r="H23" s="39"/>
      <c r="I23" s="39"/>
      <c r="J23" s="39"/>
      <c r="K23" s="2"/>
      <c r="L23" s="2"/>
      <c r="M23" s="2"/>
      <c r="N23" s="2"/>
      <c r="O23" s="2"/>
      <c r="P23" s="2"/>
      <c r="Q23" s="2"/>
      <c r="R23" s="2"/>
      <c r="S23" s="2"/>
      <c r="T23" s="2"/>
      <c r="U23" s="2"/>
      <c r="V23" s="2"/>
      <c r="W23" s="2"/>
      <c r="X23" s="2"/>
      <c r="Y23" s="2"/>
      <c r="Z23" s="2"/>
    </row>
    <row r="24" ht="40.5" customHeight="1">
      <c r="A24" s="40" t="s">
        <v>482</v>
      </c>
      <c r="B24" s="40" t="s">
        <v>509</v>
      </c>
      <c r="C24" s="41">
        <f>$C$77</f>
        <v>200</v>
      </c>
      <c r="D24" s="42" t="s">
        <v>474</v>
      </c>
      <c r="E24" s="60">
        <f>$C$86/$C$80</f>
        <v>53.31251389</v>
      </c>
      <c r="F24" s="44">
        <f t="shared" ref="F24:F27" si="14">IF(E24="","",E24/$C$74)</f>
        <v>0.03450384624</v>
      </c>
      <c r="G24" s="60">
        <f t="shared" ref="G24:G27" si="15">IF(OR(C24="",E24=""),"",C24*E24)</f>
        <v>10662.50278</v>
      </c>
      <c r="H24" s="44">
        <f t="shared" ref="H24:H27" si="16">IF(OR(C24="",F24=""),"",C24*F24)</f>
        <v>6.900769247</v>
      </c>
      <c r="I24" s="42" t="s">
        <v>475</v>
      </c>
      <c r="J24" s="40" t="s">
        <v>510</v>
      </c>
      <c r="K24" s="2"/>
      <c r="L24" s="2"/>
      <c r="M24" s="2"/>
      <c r="N24" s="2"/>
      <c r="O24" s="2"/>
      <c r="P24" s="2"/>
      <c r="Q24" s="2"/>
      <c r="R24" s="2"/>
      <c r="S24" s="2"/>
      <c r="T24" s="2"/>
      <c r="U24" s="2"/>
      <c r="V24" s="2"/>
      <c r="W24" s="2"/>
      <c r="X24" s="2"/>
      <c r="Y24" s="2"/>
      <c r="Z24" s="2"/>
    </row>
    <row r="25" ht="27.75" customHeight="1">
      <c r="A25" s="45" t="s">
        <v>511</v>
      </c>
      <c r="B25" s="45" t="s">
        <v>512</v>
      </c>
      <c r="C25" s="47">
        <f>IF($C$89="","",$C$89/1000*$C$77)</f>
        <v>20</v>
      </c>
      <c r="D25" s="47" t="s">
        <v>513</v>
      </c>
      <c r="E25" s="58">
        <f>IF(OR($C$87="",$C$88=""),"",$C$87/$C$88)</f>
        <v>254.9740122</v>
      </c>
      <c r="F25" s="49">
        <f t="shared" si="14"/>
        <v>0.1650191197</v>
      </c>
      <c r="G25" s="58">
        <f t="shared" si="15"/>
        <v>5099.480243</v>
      </c>
      <c r="H25" s="49">
        <f t="shared" si="16"/>
        <v>3.300382394</v>
      </c>
      <c r="I25" s="47" t="s">
        <v>475</v>
      </c>
      <c r="J25" s="45" t="s">
        <v>514</v>
      </c>
      <c r="K25" s="2"/>
      <c r="L25" s="2"/>
      <c r="M25" s="2"/>
      <c r="N25" s="2"/>
      <c r="O25" s="2"/>
      <c r="P25" s="2"/>
      <c r="Q25" s="2"/>
      <c r="R25" s="2"/>
      <c r="S25" s="2"/>
      <c r="T25" s="2"/>
      <c r="U25" s="2"/>
      <c r="V25" s="2"/>
      <c r="W25" s="2"/>
      <c r="X25" s="2"/>
      <c r="Y25" s="2"/>
      <c r="Z25" s="2"/>
    </row>
    <row r="26" ht="27.75" customHeight="1">
      <c r="A26" s="40" t="s">
        <v>498</v>
      </c>
      <c r="B26" s="40" t="s">
        <v>515</v>
      </c>
      <c r="C26" s="41">
        <f>$C$77</f>
        <v>200</v>
      </c>
      <c r="D26" s="42" t="s">
        <v>474</v>
      </c>
      <c r="E26" s="60">
        <f>IF(OR($C$90="",$C$91=""),"",$C$90/$C$91/$C$80)</f>
        <v>29.86111111</v>
      </c>
      <c r="F26" s="44">
        <f t="shared" si="14"/>
        <v>0.01932610397</v>
      </c>
      <c r="G26" s="60">
        <f t="shared" si="15"/>
        <v>5972.222222</v>
      </c>
      <c r="H26" s="44">
        <f t="shared" si="16"/>
        <v>3.865220794</v>
      </c>
      <c r="I26" s="42" t="s">
        <v>475</v>
      </c>
      <c r="J26" s="40" t="s">
        <v>516</v>
      </c>
      <c r="K26" s="2"/>
      <c r="L26" s="2"/>
      <c r="M26" s="2"/>
      <c r="N26" s="2"/>
      <c r="O26" s="2"/>
      <c r="P26" s="2"/>
      <c r="Q26" s="2"/>
      <c r="R26" s="2"/>
      <c r="S26" s="2"/>
      <c r="T26" s="2"/>
      <c r="U26" s="2"/>
      <c r="V26" s="2"/>
      <c r="W26" s="2"/>
      <c r="X26" s="2"/>
      <c r="Y26" s="2"/>
      <c r="Z26" s="2"/>
    </row>
    <row r="27" ht="40.5" customHeight="1">
      <c r="A27" s="45" t="s">
        <v>511</v>
      </c>
      <c r="B27" s="45" t="s">
        <v>517</v>
      </c>
      <c r="C27" s="65">
        <f>$C$83</f>
        <v>1.1</v>
      </c>
      <c r="D27" s="47" t="s">
        <v>495</v>
      </c>
      <c r="E27" s="48">
        <f>IF(OR($C$92="",$C$93=""),"",$C$92*$C$93)</f>
        <v>126024</v>
      </c>
      <c r="F27" s="49">
        <f t="shared" si="14"/>
        <v>81.56270265</v>
      </c>
      <c r="G27" s="58">
        <f t="shared" si="15"/>
        <v>138626.4</v>
      </c>
      <c r="H27" s="49">
        <f t="shared" si="16"/>
        <v>89.71897292</v>
      </c>
      <c r="I27" s="47" t="s">
        <v>475</v>
      </c>
      <c r="J27" s="45" t="s">
        <v>518</v>
      </c>
      <c r="K27" s="2"/>
      <c r="L27" s="2"/>
      <c r="M27" s="2"/>
      <c r="N27" s="2"/>
      <c r="O27" s="2"/>
      <c r="P27" s="2"/>
      <c r="Q27" s="2"/>
      <c r="R27" s="2"/>
      <c r="S27" s="2"/>
      <c r="T27" s="2"/>
      <c r="U27" s="2"/>
      <c r="V27" s="2"/>
      <c r="W27" s="2"/>
      <c r="X27" s="2"/>
      <c r="Y27" s="2"/>
      <c r="Z27" s="2"/>
    </row>
    <row r="28" ht="15.0" customHeight="1">
      <c r="A28" s="38" t="s">
        <v>519</v>
      </c>
      <c r="B28" s="39"/>
      <c r="C28" s="39"/>
      <c r="D28" s="39"/>
      <c r="E28" s="39"/>
      <c r="F28" s="39"/>
      <c r="G28" s="39"/>
      <c r="H28" s="39"/>
      <c r="I28" s="39"/>
      <c r="J28" s="39"/>
      <c r="K28" s="2"/>
      <c r="L28" s="2"/>
      <c r="M28" s="2"/>
      <c r="N28" s="2"/>
      <c r="O28" s="2"/>
      <c r="P28" s="2"/>
      <c r="Q28" s="2"/>
      <c r="R28" s="2"/>
      <c r="S28" s="2"/>
      <c r="T28" s="2"/>
      <c r="U28" s="2"/>
      <c r="V28" s="2"/>
      <c r="W28" s="2"/>
      <c r="X28" s="2"/>
      <c r="Y28" s="2"/>
      <c r="Z28" s="2"/>
    </row>
    <row r="29" ht="15.0" customHeight="1">
      <c r="A29" s="40" t="s">
        <v>482</v>
      </c>
      <c r="B29" s="40" t="s">
        <v>520</v>
      </c>
      <c r="C29" s="50">
        <v>1.0</v>
      </c>
      <c r="D29" s="42" t="s">
        <v>490</v>
      </c>
      <c r="E29" s="51">
        <v>0.0</v>
      </c>
      <c r="F29" s="52">
        <f t="shared" ref="F29:F31" si="17">IF(E29="","",E29/$C$74)</f>
        <v>0</v>
      </c>
      <c r="G29" s="52">
        <f t="shared" ref="G29:G31" si="18">IF(OR(C29="",E29=""),"",C29*E29)</f>
        <v>0</v>
      </c>
      <c r="H29" s="52">
        <f t="shared" ref="H29:H31" si="19">IF(OR(C29="",F29=""),"",C29*F29)</f>
        <v>0</v>
      </c>
      <c r="I29" s="42" t="s">
        <v>475</v>
      </c>
      <c r="J29" s="40" t="s">
        <v>521</v>
      </c>
      <c r="K29" s="2"/>
      <c r="L29" s="2"/>
      <c r="M29" s="2"/>
      <c r="N29" s="2"/>
      <c r="O29" s="2"/>
      <c r="P29" s="2"/>
      <c r="Q29" s="2"/>
      <c r="R29" s="2"/>
      <c r="S29" s="2"/>
      <c r="T29" s="2"/>
      <c r="U29" s="2"/>
      <c r="V29" s="2"/>
      <c r="W29" s="2"/>
      <c r="X29" s="2"/>
      <c r="Y29" s="2"/>
      <c r="Z29" s="2"/>
    </row>
    <row r="30" ht="15.0" customHeight="1">
      <c r="A30" s="45" t="s">
        <v>482</v>
      </c>
      <c r="B30" s="45" t="s">
        <v>522</v>
      </c>
      <c r="C30" s="53">
        <v>1.0</v>
      </c>
      <c r="D30" s="47" t="s">
        <v>490</v>
      </c>
      <c r="E30" s="54">
        <v>0.0</v>
      </c>
      <c r="F30" s="55">
        <f t="shared" si="17"/>
        <v>0</v>
      </c>
      <c r="G30" s="55">
        <f t="shared" si="18"/>
        <v>0</v>
      </c>
      <c r="H30" s="55">
        <f t="shared" si="19"/>
        <v>0</v>
      </c>
      <c r="I30" s="47" t="s">
        <v>475</v>
      </c>
      <c r="J30" s="45" t="s">
        <v>523</v>
      </c>
      <c r="K30" s="2"/>
      <c r="L30" s="2"/>
      <c r="M30" s="2"/>
      <c r="N30" s="2"/>
      <c r="O30" s="2"/>
      <c r="P30" s="2"/>
      <c r="Q30" s="2"/>
      <c r="R30" s="2"/>
      <c r="S30" s="2"/>
      <c r="T30" s="2"/>
      <c r="U30" s="2"/>
      <c r="V30" s="2"/>
      <c r="W30" s="2"/>
      <c r="X30" s="2"/>
      <c r="Y30" s="2"/>
      <c r="Z30" s="2"/>
    </row>
    <row r="31" ht="15.0" customHeight="1">
      <c r="A31" s="40" t="s">
        <v>482</v>
      </c>
      <c r="B31" s="40" t="s">
        <v>524</v>
      </c>
      <c r="C31" s="50">
        <v>1.0</v>
      </c>
      <c r="D31" s="42" t="s">
        <v>490</v>
      </c>
      <c r="E31" s="51">
        <v>0.0</v>
      </c>
      <c r="F31" s="52">
        <f t="shared" si="17"/>
        <v>0</v>
      </c>
      <c r="G31" s="52">
        <f t="shared" si="18"/>
        <v>0</v>
      </c>
      <c r="H31" s="52">
        <f t="shared" si="19"/>
        <v>0</v>
      </c>
      <c r="I31" s="42" t="s">
        <v>475</v>
      </c>
      <c r="J31" s="40" t="s">
        <v>523</v>
      </c>
      <c r="K31" s="2"/>
      <c r="L31" s="2"/>
      <c r="M31" s="2"/>
      <c r="N31" s="2"/>
      <c r="O31" s="2"/>
      <c r="P31" s="2"/>
      <c r="Q31" s="2"/>
      <c r="R31" s="2"/>
      <c r="S31" s="2"/>
      <c r="T31" s="2"/>
      <c r="U31" s="2"/>
      <c r="V31" s="2"/>
      <c r="W31" s="2"/>
      <c r="X31" s="2"/>
      <c r="Y31" s="2"/>
      <c r="Z31" s="2"/>
    </row>
    <row r="32" ht="15.0" customHeight="1">
      <c r="A32" s="38" t="s">
        <v>525</v>
      </c>
      <c r="B32" s="39"/>
      <c r="C32" s="39"/>
      <c r="D32" s="39"/>
      <c r="E32" s="66"/>
      <c r="F32" s="67"/>
      <c r="G32" s="67"/>
      <c r="H32" s="67"/>
      <c r="I32" s="39"/>
      <c r="J32" s="39"/>
      <c r="K32" s="2"/>
      <c r="L32" s="2"/>
      <c r="M32" s="2"/>
      <c r="N32" s="2"/>
      <c r="O32" s="2"/>
      <c r="P32" s="2"/>
      <c r="Q32" s="2"/>
      <c r="R32" s="2"/>
      <c r="S32" s="2"/>
      <c r="T32" s="2"/>
      <c r="U32" s="2"/>
      <c r="V32" s="2"/>
      <c r="W32" s="2"/>
      <c r="X32" s="2"/>
      <c r="Y32" s="2"/>
      <c r="Z32" s="2"/>
    </row>
    <row r="33" ht="27.75" customHeight="1">
      <c r="A33" s="40" t="s">
        <v>472</v>
      </c>
      <c r="B33" s="40" t="s">
        <v>526</v>
      </c>
      <c r="C33" s="50">
        <v>3.0</v>
      </c>
      <c r="D33" s="42" t="s">
        <v>474</v>
      </c>
      <c r="E33" s="51">
        <v>0.0</v>
      </c>
      <c r="F33" s="52">
        <f>IF(E33="","",E33/$C$74)</f>
        <v>0</v>
      </c>
      <c r="G33" s="52">
        <f>IF(OR(C33="",E33=""),"",C33*E33)</f>
        <v>0</v>
      </c>
      <c r="H33" s="52">
        <f>IF(OR(C33="",F33=""),"",C33*F33)</f>
        <v>0</v>
      </c>
      <c r="I33" s="42" t="s">
        <v>475</v>
      </c>
      <c r="J33" s="40" t="s">
        <v>527</v>
      </c>
      <c r="K33" s="2"/>
      <c r="L33" s="2"/>
      <c r="M33" s="2"/>
      <c r="N33" s="2"/>
      <c r="O33" s="2"/>
      <c r="P33" s="2"/>
      <c r="Q33" s="2"/>
      <c r="R33" s="2"/>
      <c r="S33" s="2"/>
      <c r="T33" s="2"/>
      <c r="U33" s="2"/>
      <c r="V33" s="2"/>
      <c r="W33" s="2"/>
      <c r="X33" s="2"/>
      <c r="Y33" s="2"/>
      <c r="Z33" s="2"/>
    </row>
    <row r="34" ht="15.75" customHeight="1">
      <c r="A34" s="62"/>
      <c r="B34" s="62" t="s">
        <v>528</v>
      </c>
      <c r="C34" s="62"/>
      <c r="D34" s="62"/>
      <c r="E34" s="62"/>
      <c r="F34" s="62"/>
      <c r="G34" s="63">
        <f t="shared" ref="G34:H34" si="20">SUM(G23:G33)</f>
        <v>160360.6052</v>
      </c>
      <c r="H34" s="64">
        <f t="shared" si="20"/>
        <v>103.7853454</v>
      </c>
      <c r="I34" s="62"/>
      <c r="J34" s="62"/>
      <c r="K34" s="2"/>
      <c r="L34" s="2"/>
      <c r="M34" s="2"/>
      <c r="N34" s="2"/>
      <c r="O34" s="2"/>
      <c r="P34" s="2"/>
      <c r="Q34" s="2"/>
      <c r="R34" s="2"/>
      <c r="S34" s="2"/>
      <c r="T34" s="2"/>
      <c r="U34" s="2"/>
      <c r="V34" s="2"/>
      <c r="W34" s="2"/>
      <c r="X34" s="2"/>
      <c r="Y34" s="2"/>
      <c r="Z34" s="2"/>
    </row>
    <row r="35" ht="18.0" customHeight="1">
      <c r="A35" s="37" t="s">
        <v>529</v>
      </c>
      <c r="B35" s="37"/>
      <c r="C35" s="37"/>
      <c r="D35" s="37"/>
      <c r="E35" s="37"/>
      <c r="F35" s="37"/>
      <c r="G35" s="37"/>
      <c r="H35" s="37"/>
      <c r="I35" s="37"/>
      <c r="J35" s="37"/>
      <c r="K35" s="2"/>
      <c r="L35" s="2"/>
      <c r="M35" s="2"/>
      <c r="N35" s="2"/>
      <c r="O35" s="2"/>
      <c r="P35" s="2"/>
      <c r="Q35" s="2"/>
      <c r="R35" s="2"/>
      <c r="S35" s="2"/>
      <c r="T35" s="2"/>
      <c r="U35" s="2"/>
      <c r="V35" s="2"/>
      <c r="W35" s="2"/>
      <c r="X35" s="2"/>
      <c r="Y35" s="2"/>
      <c r="Z35" s="2"/>
    </row>
    <row r="36" ht="52.5" customHeight="1">
      <c r="A36" s="40" t="s">
        <v>511</v>
      </c>
      <c r="B36" s="40" t="s">
        <v>530</v>
      </c>
      <c r="C36" s="50">
        <v>1.0</v>
      </c>
      <c r="D36" s="42" t="s">
        <v>531</v>
      </c>
      <c r="E36" s="43">
        <f>IF(F36="","",F36*$C$75)</f>
        <v>1055415</v>
      </c>
      <c r="F36" s="68">
        <v>710.0</v>
      </c>
      <c r="G36" s="43">
        <f t="shared" ref="G36:G40" si="21">IF(OR(C36="",E36=""),"",C36*E36)</f>
        <v>1055415</v>
      </c>
      <c r="H36" s="52">
        <f t="shared" ref="H36:H40" si="22">IF(OR(C36="",F36=""),"",C36*F36)</f>
        <v>710</v>
      </c>
      <c r="I36" s="42" t="s">
        <v>532</v>
      </c>
      <c r="J36" s="40" t="s">
        <v>533</v>
      </c>
      <c r="K36" s="2"/>
      <c r="L36" s="2"/>
      <c r="M36" s="2"/>
      <c r="N36" s="2"/>
      <c r="O36" s="2"/>
      <c r="P36" s="2"/>
      <c r="Q36" s="2"/>
      <c r="R36" s="2"/>
      <c r="S36" s="2"/>
      <c r="T36" s="2"/>
      <c r="U36" s="2"/>
      <c r="V36" s="2"/>
      <c r="W36" s="2"/>
      <c r="X36" s="2"/>
      <c r="Y36" s="2"/>
      <c r="Z36" s="2"/>
    </row>
    <row r="37" ht="40.5" customHeight="1">
      <c r="A37" s="45" t="s">
        <v>511</v>
      </c>
      <c r="B37" s="45" t="s">
        <v>534</v>
      </c>
      <c r="C37" s="53">
        <v>1.0</v>
      </c>
      <c r="D37" s="47" t="s">
        <v>531</v>
      </c>
      <c r="E37" s="58">
        <f>IF(F37="","",F37*$C$74)</f>
        <v>142150.856</v>
      </c>
      <c r="F37" s="57">
        <v>92.0</v>
      </c>
      <c r="G37" s="58">
        <f t="shared" si="21"/>
        <v>142150.856</v>
      </c>
      <c r="H37" s="55">
        <f t="shared" si="22"/>
        <v>92</v>
      </c>
      <c r="I37" s="47" t="s">
        <v>532</v>
      </c>
      <c r="J37" s="45" t="s">
        <v>535</v>
      </c>
      <c r="K37" s="2"/>
      <c r="L37" s="2"/>
      <c r="M37" s="2"/>
      <c r="N37" s="2"/>
      <c r="O37" s="2"/>
      <c r="P37" s="2"/>
      <c r="Q37" s="2"/>
      <c r="R37" s="2"/>
      <c r="S37" s="2"/>
      <c r="T37" s="2"/>
      <c r="U37" s="2"/>
      <c r="V37" s="2"/>
      <c r="W37" s="2"/>
      <c r="X37" s="2"/>
      <c r="Y37" s="2"/>
      <c r="Z37" s="2"/>
    </row>
    <row r="38" ht="40.5" customHeight="1">
      <c r="A38" s="40" t="s">
        <v>511</v>
      </c>
      <c r="B38" s="40" t="s">
        <v>536</v>
      </c>
      <c r="C38" s="50">
        <v>1.0</v>
      </c>
      <c r="D38" s="42" t="s">
        <v>531</v>
      </c>
      <c r="E38" s="69">
        <v>1226498.9</v>
      </c>
      <c r="F38" s="44">
        <f t="shared" ref="F38:F40" si="23">IF(E38="","",E38/$C$74)</f>
        <v>793.7897947</v>
      </c>
      <c r="G38" s="70">
        <f t="shared" si="21"/>
        <v>1226498.9</v>
      </c>
      <c r="H38" s="44">
        <f t="shared" si="22"/>
        <v>793.7897947</v>
      </c>
      <c r="I38" s="42" t="s">
        <v>532</v>
      </c>
      <c r="J38" s="40" t="s">
        <v>537</v>
      </c>
      <c r="K38" s="2"/>
      <c r="L38" s="2"/>
      <c r="M38" s="2"/>
      <c r="N38" s="2"/>
      <c r="O38" s="2"/>
      <c r="P38" s="2"/>
      <c r="Q38" s="2"/>
      <c r="R38" s="2"/>
      <c r="S38" s="2"/>
      <c r="T38" s="2"/>
      <c r="U38" s="2"/>
      <c r="V38" s="2"/>
      <c r="W38" s="2"/>
      <c r="X38" s="2"/>
      <c r="Y38" s="2"/>
      <c r="Z38" s="2"/>
    </row>
    <row r="39" ht="27.0" customHeight="1">
      <c r="A39" s="45" t="s">
        <v>511</v>
      </c>
      <c r="B39" s="45" t="s">
        <v>538</v>
      </c>
      <c r="C39" s="53">
        <v>1.0</v>
      </c>
      <c r="D39" s="47" t="s">
        <v>531</v>
      </c>
      <c r="E39" s="48">
        <f>IF($C$94="","",$C$94)</f>
        <v>100000</v>
      </c>
      <c r="F39" s="49">
        <f t="shared" si="23"/>
        <v>64.71997608</v>
      </c>
      <c r="G39" s="48">
        <f t="shared" si="21"/>
        <v>100000</v>
      </c>
      <c r="H39" s="49">
        <f t="shared" si="22"/>
        <v>64.71997608</v>
      </c>
      <c r="I39" s="47" t="s">
        <v>532</v>
      </c>
      <c r="J39" s="45" t="s">
        <v>539</v>
      </c>
      <c r="K39" s="2"/>
      <c r="L39" s="2"/>
      <c r="M39" s="2"/>
      <c r="N39" s="2"/>
      <c r="O39" s="2"/>
      <c r="P39" s="2"/>
      <c r="Q39" s="2"/>
      <c r="R39" s="2"/>
      <c r="S39" s="2"/>
      <c r="T39" s="2"/>
      <c r="U39" s="2"/>
      <c r="V39" s="2"/>
      <c r="W39" s="2"/>
      <c r="X39" s="2"/>
      <c r="Y39" s="2"/>
      <c r="Z39" s="2"/>
    </row>
    <row r="40" ht="104.25" customHeight="1">
      <c r="A40" s="40" t="s">
        <v>511</v>
      </c>
      <c r="B40" s="40" t="s">
        <v>540</v>
      </c>
      <c r="C40" s="50">
        <v>1.0</v>
      </c>
      <c r="D40" s="42" t="s">
        <v>531</v>
      </c>
      <c r="E40" s="43">
        <f>IF($C$95="","",$C$95)</f>
        <v>67999</v>
      </c>
      <c r="F40" s="44">
        <f t="shared" si="23"/>
        <v>44.00893653</v>
      </c>
      <c r="G40" s="43">
        <f t="shared" si="21"/>
        <v>67999</v>
      </c>
      <c r="H40" s="44">
        <f t="shared" si="22"/>
        <v>44.00893653</v>
      </c>
      <c r="I40" s="42" t="s">
        <v>532</v>
      </c>
      <c r="J40" s="40" t="s">
        <v>541</v>
      </c>
      <c r="K40" s="2"/>
      <c r="L40" s="2"/>
      <c r="M40" s="2"/>
      <c r="N40" s="2"/>
      <c r="O40" s="2"/>
      <c r="P40" s="2"/>
      <c r="Q40" s="2"/>
      <c r="R40" s="2"/>
      <c r="S40" s="2"/>
      <c r="T40" s="2"/>
      <c r="U40" s="2"/>
      <c r="V40" s="2"/>
      <c r="W40" s="2"/>
      <c r="X40" s="2"/>
      <c r="Y40" s="2"/>
      <c r="Z40" s="2"/>
    </row>
    <row r="41" ht="15.75" customHeight="1">
      <c r="A41" s="62"/>
      <c r="B41" s="62" t="s">
        <v>542</v>
      </c>
      <c r="C41" s="62"/>
      <c r="D41" s="62"/>
      <c r="E41" s="62"/>
      <c r="F41" s="62"/>
      <c r="G41" s="63">
        <f t="shared" ref="G41:H41" si="24">SUM(G36:G40)</f>
        <v>2592063.756</v>
      </c>
      <c r="H41" s="64">
        <f t="shared" si="24"/>
        <v>1704.518707</v>
      </c>
      <c r="I41" s="62"/>
      <c r="J41" s="62"/>
      <c r="K41" s="2"/>
      <c r="L41" s="2"/>
      <c r="M41" s="2"/>
      <c r="N41" s="2"/>
      <c r="O41" s="2"/>
      <c r="P41" s="2"/>
      <c r="Q41" s="2"/>
      <c r="R41" s="2"/>
      <c r="S41" s="2"/>
      <c r="T41" s="2"/>
      <c r="U41" s="2"/>
      <c r="V41" s="2"/>
      <c r="W41" s="2"/>
      <c r="X41" s="2"/>
      <c r="Y41" s="2"/>
      <c r="Z41" s="2"/>
    </row>
    <row r="42" ht="18.0" customHeight="1">
      <c r="A42" s="37" t="s">
        <v>543</v>
      </c>
      <c r="B42" s="37"/>
      <c r="C42" s="37"/>
      <c r="D42" s="37"/>
      <c r="E42" s="37"/>
      <c r="F42" s="37"/>
      <c r="G42" s="37"/>
      <c r="H42" s="37"/>
      <c r="I42" s="37"/>
      <c r="J42" s="37"/>
      <c r="K42" s="2"/>
      <c r="L42" s="2"/>
      <c r="M42" s="2"/>
      <c r="N42" s="2"/>
      <c r="O42" s="2"/>
      <c r="P42" s="2"/>
      <c r="Q42" s="2"/>
      <c r="R42" s="2"/>
      <c r="S42" s="2"/>
      <c r="T42" s="2"/>
      <c r="U42" s="2"/>
      <c r="V42" s="2"/>
      <c r="W42" s="2"/>
      <c r="X42" s="2"/>
      <c r="Y42" s="2"/>
      <c r="Z42" s="2"/>
    </row>
    <row r="43" ht="27.75" customHeight="1">
      <c r="A43" s="40" t="s">
        <v>498</v>
      </c>
      <c r="B43" s="40" t="s">
        <v>544</v>
      </c>
      <c r="C43" s="59">
        <f>$C$84/$C$85</f>
        <v>0.2086956522</v>
      </c>
      <c r="D43" s="42" t="s">
        <v>500</v>
      </c>
      <c r="E43" s="51">
        <v>2269.0</v>
      </c>
      <c r="F43" s="44">
        <f t="shared" ref="F43:F46" si="25">IF(E43="","",E43/$C$74)</f>
        <v>1.468496257</v>
      </c>
      <c r="G43" s="60">
        <f t="shared" ref="G43:G46" si="26">IF(OR(C43="",E43=""),"",C43*E43)</f>
        <v>473.5304348</v>
      </c>
      <c r="H43" s="44">
        <f t="shared" ref="H43:H46" si="27">IF(OR(C43="",F43=""),"",C43*F43)</f>
        <v>0.3064687841</v>
      </c>
      <c r="I43" s="42" t="s">
        <v>475</v>
      </c>
      <c r="J43" s="40" t="s">
        <v>545</v>
      </c>
      <c r="K43" s="2"/>
      <c r="L43" s="2"/>
      <c r="M43" s="2"/>
      <c r="N43" s="2"/>
      <c r="O43" s="2"/>
      <c r="P43" s="2"/>
      <c r="Q43" s="2"/>
      <c r="R43" s="2"/>
      <c r="S43" s="2"/>
      <c r="T43" s="2"/>
      <c r="U43" s="2"/>
      <c r="V43" s="2"/>
      <c r="W43" s="2"/>
      <c r="X43" s="2"/>
      <c r="Y43" s="2"/>
      <c r="Z43" s="2"/>
    </row>
    <row r="44" ht="27.75" customHeight="1">
      <c r="A44" s="45" t="s">
        <v>482</v>
      </c>
      <c r="B44" s="45" t="s">
        <v>546</v>
      </c>
      <c r="C44" s="53">
        <v>0.0</v>
      </c>
      <c r="D44" s="47" t="s">
        <v>547</v>
      </c>
      <c r="E44" s="54">
        <v>0.0</v>
      </c>
      <c r="F44" s="48">
        <f t="shared" si="25"/>
        <v>0</v>
      </c>
      <c r="G44" s="48">
        <f t="shared" si="26"/>
        <v>0</v>
      </c>
      <c r="H44" s="48">
        <f t="shared" si="27"/>
        <v>0</v>
      </c>
      <c r="I44" s="47" t="s">
        <v>475</v>
      </c>
      <c r="J44" s="45" t="s">
        <v>548</v>
      </c>
      <c r="K44" s="2"/>
      <c r="L44" s="2"/>
      <c r="M44" s="2"/>
      <c r="N44" s="2"/>
      <c r="O44" s="2"/>
      <c r="P44" s="2"/>
      <c r="Q44" s="2"/>
      <c r="R44" s="2"/>
      <c r="S44" s="2"/>
      <c r="T44" s="2"/>
      <c r="U44" s="2"/>
      <c r="V44" s="2"/>
      <c r="W44" s="2"/>
      <c r="X44" s="2"/>
      <c r="Y44" s="2"/>
      <c r="Z44" s="2"/>
    </row>
    <row r="45" ht="15.0" customHeight="1">
      <c r="A45" s="40" t="s">
        <v>482</v>
      </c>
      <c r="B45" s="40" t="s">
        <v>549</v>
      </c>
      <c r="C45" s="50">
        <v>0.0</v>
      </c>
      <c r="D45" s="42" t="s">
        <v>484</v>
      </c>
      <c r="E45" s="51">
        <v>0.0</v>
      </c>
      <c r="F45" s="43">
        <f t="shared" si="25"/>
        <v>0</v>
      </c>
      <c r="G45" s="43">
        <f t="shared" si="26"/>
        <v>0</v>
      </c>
      <c r="H45" s="43">
        <f t="shared" si="27"/>
        <v>0</v>
      </c>
      <c r="I45" s="42" t="s">
        <v>475</v>
      </c>
      <c r="J45" s="40" t="s">
        <v>550</v>
      </c>
      <c r="K45" s="2"/>
      <c r="L45" s="2"/>
      <c r="M45" s="2"/>
      <c r="N45" s="2"/>
      <c r="O45" s="2"/>
      <c r="P45" s="2"/>
      <c r="Q45" s="2"/>
      <c r="R45" s="2"/>
      <c r="S45" s="2"/>
      <c r="T45" s="2"/>
      <c r="U45" s="2"/>
      <c r="V45" s="2"/>
      <c r="W45" s="2"/>
      <c r="X45" s="2"/>
      <c r="Y45" s="2"/>
      <c r="Z45" s="2"/>
    </row>
    <row r="46" ht="15.0" customHeight="1">
      <c r="A46" s="45" t="s">
        <v>498</v>
      </c>
      <c r="B46" s="45" t="s">
        <v>551</v>
      </c>
      <c r="C46" s="53">
        <v>0.0</v>
      </c>
      <c r="D46" s="47" t="s">
        <v>552</v>
      </c>
      <c r="E46" s="54">
        <v>0.0</v>
      </c>
      <c r="F46" s="48">
        <f t="shared" si="25"/>
        <v>0</v>
      </c>
      <c r="G46" s="48">
        <f t="shared" si="26"/>
        <v>0</v>
      </c>
      <c r="H46" s="48">
        <f t="shared" si="27"/>
        <v>0</v>
      </c>
      <c r="I46" s="47" t="s">
        <v>475</v>
      </c>
      <c r="J46" s="45" t="s">
        <v>553</v>
      </c>
      <c r="K46" s="2"/>
      <c r="L46" s="2"/>
      <c r="M46" s="2"/>
      <c r="N46" s="2"/>
      <c r="O46" s="2"/>
      <c r="P46" s="2"/>
      <c r="Q46" s="2"/>
      <c r="R46" s="2"/>
      <c r="S46" s="2"/>
      <c r="T46" s="2"/>
      <c r="U46" s="2"/>
      <c r="V46" s="2"/>
      <c r="W46" s="2"/>
      <c r="X46" s="2"/>
      <c r="Y46" s="2"/>
      <c r="Z46" s="2"/>
    </row>
    <row r="47" ht="15.75" customHeight="1">
      <c r="A47" s="62"/>
      <c r="B47" s="62" t="s">
        <v>554</v>
      </c>
      <c r="C47" s="62"/>
      <c r="D47" s="62"/>
      <c r="E47" s="62"/>
      <c r="F47" s="62"/>
      <c r="G47" s="63">
        <f t="shared" ref="G47:H47" si="28">SUM(G43:G46)</f>
        <v>473.5304348</v>
      </c>
      <c r="H47" s="64">
        <f t="shared" si="28"/>
        <v>0.3064687841</v>
      </c>
      <c r="I47" s="62"/>
      <c r="J47" s="62"/>
      <c r="K47" s="2"/>
      <c r="L47" s="2"/>
      <c r="M47" s="2"/>
      <c r="N47" s="2"/>
      <c r="O47" s="2"/>
      <c r="P47" s="2"/>
      <c r="Q47" s="2"/>
      <c r="R47" s="2"/>
      <c r="S47" s="2"/>
      <c r="T47" s="2"/>
      <c r="U47" s="2"/>
      <c r="V47" s="2"/>
      <c r="W47" s="2"/>
      <c r="X47" s="2"/>
      <c r="Y47" s="2"/>
      <c r="Z47" s="2"/>
    </row>
    <row r="48" ht="18.0" customHeight="1">
      <c r="A48" s="37" t="s">
        <v>555</v>
      </c>
      <c r="B48" s="37"/>
      <c r="C48" s="37"/>
      <c r="D48" s="37"/>
      <c r="E48" s="37"/>
      <c r="F48" s="37"/>
      <c r="G48" s="37"/>
      <c r="H48" s="37"/>
      <c r="I48" s="37"/>
      <c r="J48" s="37"/>
      <c r="K48" s="2"/>
      <c r="L48" s="2"/>
      <c r="M48" s="2"/>
      <c r="N48" s="2"/>
      <c r="O48" s="2"/>
      <c r="P48" s="2"/>
      <c r="Q48" s="2"/>
      <c r="R48" s="2"/>
      <c r="S48" s="2"/>
      <c r="T48" s="2"/>
      <c r="U48" s="2"/>
      <c r="V48" s="2"/>
      <c r="W48" s="2"/>
      <c r="X48" s="2"/>
      <c r="Y48" s="2"/>
      <c r="Z48" s="2"/>
    </row>
    <row r="49" ht="15.0" customHeight="1">
      <c r="A49" s="38" t="s">
        <v>556</v>
      </c>
      <c r="B49" s="39"/>
      <c r="C49" s="39"/>
      <c r="D49" s="39"/>
      <c r="E49" s="39"/>
      <c r="F49" s="39"/>
      <c r="G49" s="39"/>
      <c r="H49" s="39"/>
      <c r="I49" s="39"/>
      <c r="J49" s="39"/>
      <c r="K49" s="2"/>
      <c r="L49" s="2"/>
      <c r="M49" s="2"/>
      <c r="N49" s="2"/>
      <c r="O49" s="2"/>
      <c r="P49" s="2"/>
      <c r="Q49" s="2"/>
      <c r="R49" s="2"/>
      <c r="S49" s="2"/>
      <c r="T49" s="2"/>
      <c r="U49" s="2"/>
      <c r="V49" s="2"/>
      <c r="W49" s="2"/>
      <c r="X49" s="2"/>
      <c r="Y49" s="2"/>
      <c r="Z49" s="2"/>
    </row>
    <row r="50" ht="40.5" customHeight="1">
      <c r="A50" s="40" t="s">
        <v>472</v>
      </c>
      <c r="B50" s="40" t="s">
        <v>557</v>
      </c>
      <c r="C50" s="42">
        <f>$C$96*$C$97</f>
        <v>48</v>
      </c>
      <c r="D50" s="42" t="s">
        <v>474</v>
      </c>
      <c r="E50" s="43">
        <f>$C$76</f>
        <v>21600</v>
      </c>
      <c r="F50" s="44">
        <f>IF(E50="","",E50/$C$74)</f>
        <v>13.97951483</v>
      </c>
      <c r="G50" s="43">
        <f>IF(OR(C50="",E50=""),"",C50*E50)</f>
        <v>1036800</v>
      </c>
      <c r="H50" s="44">
        <f>IF(OR(C50="",F50=""),"",C50*F50)</f>
        <v>671.016712</v>
      </c>
      <c r="I50" s="42" t="s">
        <v>475</v>
      </c>
      <c r="J50" s="40" t="s">
        <v>558</v>
      </c>
      <c r="K50" s="2"/>
      <c r="L50" s="2"/>
      <c r="M50" s="2"/>
      <c r="N50" s="2"/>
      <c r="O50" s="2"/>
      <c r="P50" s="2"/>
      <c r="Q50" s="2"/>
      <c r="R50" s="2"/>
      <c r="S50" s="2"/>
      <c r="T50" s="2"/>
      <c r="U50" s="2"/>
      <c r="V50" s="2"/>
      <c r="W50" s="2"/>
      <c r="X50" s="2"/>
      <c r="Y50" s="2"/>
      <c r="Z50" s="2"/>
    </row>
    <row r="51" ht="15.0" customHeight="1">
      <c r="A51" s="38" t="s">
        <v>559</v>
      </c>
      <c r="B51" s="39"/>
      <c r="C51" s="39"/>
      <c r="D51" s="39"/>
      <c r="E51" s="39"/>
      <c r="F51" s="39"/>
      <c r="G51" s="39"/>
      <c r="H51" s="39"/>
      <c r="I51" s="39"/>
      <c r="J51" s="39"/>
      <c r="K51" s="2"/>
      <c r="L51" s="2"/>
      <c r="M51" s="2"/>
      <c r="N51" s="2"/>
      <c r="O51" s="2"/>
      <c r="P51" s="2"/>
      <c r="Q51" s="2"/>
      <c r="R51" s="2"/>
      <c r="S51" s="2"/>
      <c r="T51" s="2"/>
      <c r="U51" s="2"/>
      <c r="V51" s="2"/>
      <c r="W51" s="2"/>
      <c r="X51" s="2"/>
      <c r="Y51" s="2"/>
      <c r="Z51" s="2"/>
    </row>
    <row r="52" ht="27.75" customHeight="1">
      <c r="A52" s="40" t="s">
        <v>482</v>
      </c>
      <c r="B52" s="40" t="s">
        <v>560</v>
      </c>
      <c r="C52" s="41">
        <f t="shared" ref="C52:C58" si="29">$C$96</f>
        <v>12</v>
      </c>
      <c r="D52" s="42" t="s">
        <v>495</v>
      </c>
      <c r="E52" s="51">
        <v>0.0</v>
      </c>
      <c r="F52" s="43">
        <f t="shared" ref="F52:F58" si="30">IF(E52="","",E52/$C$74)</f>
        <v>0</v>
      </c>
      <c r="G52" s="43">
        <f t="shared" ref="G52:G58" si="31">IF(OR(C52="",E52=""),"",C52*E52)</f>
        <v>0</v>
      </c>
      <c r="H52" s="43">
        <f t="shared" ref="H52:H58" si="32">IF(OR(C52="",F52=""),"",C52*F52)</f>
        <v>0</v>
      </c>
      <c r="I52" s="42" t="s">
        <v>475</v>
      </c>
      <c r="J52" s="40" t="s">
        <v>561</v>
      </c>
      <c r="K52" s="2"/>
      <c r="L52" s="2"/>
      <c r="M52" s="2"/>
      <c r="N52" s="2"/>
      <c r="O52" s="2"/>
      <c r="P52" s="2"/>
      <c r="Q52" s="2"/>
      <c r="R52" s="2"/>
      <c r="S52" s="2"/>
      <c r="T52" s="2"/>
      <c r="U52" s="2"/>
      <c r="V52" s="2"/>
      <c r="W52" s="2"/>
      <c r="X52" s="2"/>
      <c r="Y52" s="2"/>
      <c r="Z52" s="2"/>
    </row>
    <row r="53" ht="27.75" customHeight="1">
      <c r="A53" s="45" t="s">
        <v>482</v>
      </c>
      <c r="B53" s="45" t="s">
        <v>562</v>
      </c>
      <c r="C53" s="46">
        <f t="shared" si="29"/>
        <v>12</v>
      </c>
      <c r="D53" s="47" t="s">
        <v>495</v>
      </c>
      <c r="E53" s="54">
        <v>0.0</v>
      </c>
      <c r="F53" s="48">
        <f t="shared" si="30"/>
        <v>0</v>
      </c>
      <c r="G53" s="48">
        <f t="shared" si="31"/>
        <v>0</v>
      </c>
      <c r="H53" s="48">
        <f t="shared" si="32"/>
        <v>0</v>
      </c>
      <c r="I53" s="47" t="s">
        <v>475</v>
      </c>
      <c r="J53" s="45" t="s">
        <v>563</v>
      </c>
      <c r="K53" s="2"/>
      <c r="L53" s="2"/>
      <c r="M53" s="2"/>
      <c r="N53" s="2"/>
      <c r="O53" s="2"/>
      <c r="P53" s="2"/>
      <c r="Q53" s="2"/>
      <c r="R53" s="2"/>
      <c r="S53" s="2"/>
      <c r="T53" s="2"/>
      <c r="U53" s="2"/>
      <c r="V53" s="2"/>
      <c r="W53" s="2"/>
      <c r="X53" s="2"/>
      <c r="Y53" s="2"/>
      <c r="Z53" s="2"/>
    </row>
    <row r="54" ht="15.0" customHeight="1">
      <c r="A54" s="40" t="s">
        <v>482</v>
      </c>
      <c r="B54" s="40" t="s">
        <v>564</v>
      </c>
      <c r="C54" s="41">
        <f t="shared" si="29"/>
        <v>12</v>
      </c>
      <c r="D54" s="42" t="s">
        <v>495</v>
      </c>
      <c r="E54" s="51">
        <v>0.0</v>
      </c>
      <c r="F54" s="43">
        <f t="shared" si="30"/>
        <v>0</v>
      </c>
      <c r="G54" s="43">
        <f t="shared" si="31"/>
        <v>0</v>
      </c>
      <c r="H54" s="43">
        <f t="shared" si="32"/>
        <v>0</v>
      </c>
      <c r="I54" s="42" t="s">
        <v>475</v>
      </c>
      <c r="J54" s="40" t="s">
        <v>565</v>
      </c>
      <c r="K54" s="2"/>
      <c r="L54" s="2"/>
      <c r="M54" s="2"/>
      <c r="N54" s="2"/>
      <c r="O54" s="2"/>
      <c r="P54" s="2"/>
      <c r="Q54" s="2"/>
      <c r="R54" s="2"/>
      <c r="S54" s="2"/>
      <c r="T54" s="2"/>
      <c r="U54" s="2"/>
      <c r="V54" s="2"/>
      <c r="W54" s="2"/>
      <c r="X54" s="2"/>
      <c r="Y54" s="2"/>
      <c r="Z54" s="2"/>
    </row>
    <row r="55" ht="27.75" customHeight="1">
      <c r="A55" s="45" t="s">
        <v>482</v>
      </c>
      <c r="B55" s="45" t="s">
        <v>566</v>
      </c>
      <c r="C55" s="46">
        <f t="shared" si="29"/>
        <v>12</v>
      </c>
      <c r="D55" s="47" t="s">
        <v>495</v>
      </c>
      <c r="E55" s="54">
        <v>0.0</v>
      </c>
      <c r="F55" s="48">
        <f t="shared" si="30"/>
        <v>0</v>
      </c>
      <c r="G55" s="48">
        <f t="shared" si="31"/>
        <v>0</v>
      </c>
      <c r="H55" s="48">
        <f t="shared" si="32"/>
        <v>0</v>
      </c>
      <c r="I55" s="47" t="s">
        <v>475</v>
      </c>
      <c r="J55" s="45" t="s">
        <v>567</v>
      </c>
      <c r="K55" s="2"/>
      <c r="L55" s="2"/>
      <c r="M55" s="2"/>
      <c r="N55" s="2"/>
      <c r="O55" s="2"/>
      <c r="P55" s="2"/>
      <c r="Q55" s="2"/>
      <c r="R55" s="2"/>
      <c r="S55" s="2"/>
      <c r="T55" s="2"/>
      <c r="U55" s="2"/>
      <c r="V55" s="2"/>
      <c r="W55" s="2"/>
      <c r="X55" s="2"/>
      <c r="Y55" s="2"/>
      <c r="Z55" s="2"/>
    </row>
    <row r="56" ht="27.75" customHeight="1">
      <c r="A56" s="40" t="s">
        <v>482</v>
      </c>
      <c r="B56" s="40" t="s">
        <v>568</v>
      </c>
      <c r="C56" s="41">
        <f t="shared" si="29"/>
        <v>12</v>
      </c>
      <c r="D56" s="42" t="s">
        <v>495</v>
      </c>
      <c r="E56" s="51">
        <v>0.0</v>
      </c>
      <c r="F56" s="43">
        <f t="shared" si="30"/>
        <v>0</v>
      </c>
      <c r="G56" s="43">
        <f t="shared" si="31"/>
        <v>0</v>
      </c>
      <c r="H56" s="43">
        <f t="shared" si="32"/>
        <v>0</v>
      </c>
      <c r="I56" s="42" t="s">
        <v>475</v>
      </c>
      <c r="J56" s="40" t="s">
        <v>569</v>
      </c>
      <c r="K56" s="2"/>
      <c r="L56" s="2"/>
      <c r="M56" s="2"/>
      <c r="N56" s="2"/>
      <c r="O56" s="2"/>
      <c r="P56" s="2"/>
      <c r="Q56" s="2"/>
      <c r="R56" s="2"/>
      <c r="S56" s="2"/>
      <c r="T56" s="2"/>
      <c r="U56" s="2"/>
      <c r="V56" s="2"/>
      <c r="W56" s="2"/>
      <c r="X56" s="2"/>
      <c r="Y56" s="2"/>
      <c r="Z56" s="2"/>
    </row>
    <row r="57" ht="15.0" customHeight="1">
      <c r="A57" s="45" t="s">
        <v>482</v>
      </c>
      <c r="B57" s="45" t="s">
        <v>570</v>
      </c>
      <c r="C57" s="46">
        <f t="shared" si="29"/>
        <v>12</v>
      </c>
      <c r="D57" s="47" t="s">
        <v>495</v>
      </c>
      <c r="E57" s="54">
        <v>0.0</v>
      </c>
      <c r="F57" s="48">
        <f t="shared" si="30"/>
        <v>0</v>
      </c>
      <c r="G57" s="48">
        <f t="shared" si="31"/>
        <v>0</v>
      </c>
      <c r="H57" s="48">
        <f t="shared" si="32"/>
        <v>0</v>
      </c>
      <c r="I57" s="47" t="s">
        <v>475</v>
      </c>
      <c r="J57" s="45" t="s">
        <v>571</v>
      </c>
      <c r="K57" s="2"/>
      <c r="L57" s="2"/>
      <c r="M57" s="2"/>
      <c r="N57" s="2"/>
      <c r="O57" s="2"/>
      <c r="P57" s="2"/>
      <c r="Q57" s="2"/>
      <c r="R57" s="2"/>
      <c r="S57" s="2"/>
      <c r="T57" s="2"/>
      <c r="U57" s="2"/>
      <c r="V57" s="2"/>
      <c r="W57" s="2"/>
      <c r="X57" s="2"/>
      <c r="Y57" s="2"/>
      <c r="Z57" s="2"/>
    </row>
    <row r="58" ht="40.5" customHeight="1">
      <c r="A58" s="40" t="s">
        <v>498</v>
      </c>
      <c r="B58" s="40" t="s">
        <v>572</v>
      </c>
      <c r="C58" s="41">
        <f t="shared" si="29"/>
        <v>12</v>
      </c>
      <c r="D58" s="42" t="s">
        <v>495</v>
      </c>
      <c r="E58" s="51">
        <v>0.0</v>
      </c>
      <c r="F58" s="43">
        <f t="shared" si="30"/>
        <v>0</v>
      </c>
      <c r="G58" s="43">
        <f t="shared" si="31"/>
        <v>0</v>
      </c>
      <c r="H58" s="43">
        <f t="shared" si="32"/>
        <v>0</v>
      </c>
      <c r="I58" s="42" t="s">
        <v>475</v>
      </c>
      <c r="J58" s="40" t="s">
        <v>573</v>
      </c>
      <c r="K58" s="2"/>
      <c r="L58" s="2"/>
      <c r="M58" s="2"/>
      <c r="N58" s="2"/>
      <c r="O58" s="2"/>
      <c r="P58" s="2"/>
      <c r="Q58" s="2"/>
      <c r="R58" s="2"/>
      <c r="S58" s="2"/>
      <c r="T58" s="2"/>
      <c r="U58" s="2"/>
      <c r="V58" s="2"/>
      <c r="W58" s="2"/>
      <c r="X58" s="2"/>
      <c r="Y58" s="2"/>
      <c r="Z58" s="2"/>
    </row>
    <row r="59" ht="15.0" customHeight="1">
      <c r="A59" s="38" t="s">
        <v>574</v>
      </c>
      <c r="B59" s="39"/>
      <c r="C59" s="39"/>
      <c r="D59" s="39"/>
      <c r="E59" s="66"/>
      <c r="F59" s="66"/>
      <c r="G59" s="66"/>
      <c r="H59" s="66"/>
      <c r="I59" s="39"/>
      <c r="J59" s="39"/>
      <c r="K59" s="2"/>
      <c r="L59" s="2"/>
      <c r="M59" s="2"/>
      <c r="N59" s="2"/>
      <c r="O59" s="2"/>
      <c r="P59" s="2"/>
      <c r="Q59" s="2"/>
      <c r="R59" s="2"/>
      <c r="S59" s="2"/>
      <c r="T59" s="2"/>
      <c r="U59" s="2"/>
      <c r="V59" s="2"/>
      <c r="W59" s="2"/>
      <c r="X59" s="2"/>
      <c r="Y59" s="2"/>
      <c r="Z59" s="2"/>
    </row>
    <row r="60" ht="27.75" customHeight="1">
      <c r="A60" s="40" t="s">
        <v>482</v>
      </c>
      <c r="B60" s="40" t="s">
        <v>575</v>
      </c>
      <c r="C60" s="41">
        <f t="shared" ref="C60:C61" si="33">$C$96</f>
        <v>12</v>
      </c>
      <c r="D60" s="42" t="s">
        <v>495</v>
      </c>
      <c r="E60" s="51">
        <v>0.0</v>
      </c>
      <c r="F60" s="43">
        <f t="shared" ref="F60:F61" si="34">IF(E60="","",E60/$C$74)</f>
        <v>0</v>
      </c>
      <c r="G60" s="43">
        <f t="shared" ref="G60:G61" si="35">IF(OR(C60="",E60=""),"",C60*E60)</f>
        <v>0</v>
      </c>
      <c r="H60" s="43">
        <f t="shared" ref="H60:H61" si="36">IF(OR(C60="",F60=""),"",C60*F60)</f>
        <v>0</v>
      </c>
      <c r="I60" s="42" t="s">
        <v>475</v>
      </c>
      <c r="J60" s="40" t="s">
        <v>576</v>
      </c>
      <c r="K60" s="2"/>
      <c r="L60" s="2"/>
      <c r="M60" s="2"/>
      <c r="N60" s="2"/>
      <c r="O60" s="2"/>
      <c r="P60" s="2"/>
      <c r="Q60" s="2"/>
      <c r="R60" s="2"/>
      <c r="S60" s="2"/>
      <c r="T60" s="2"/>
      <c r="U60" s="2"/>
      <c r="V60" s="2"/>
      <c r="W60" s="2"/>
      <c r="X60" s="2"/>
      <c r="Y60" s="2"/>
      <c r="Z60" s="2"/>
    </row>
    <row r="61" ht="27.75" customHeight="1">
      <c r="A61" s="45" t="s">
        <v>482</v>
      </c>
      <c r="B61" s="45" t="s">
        <v>577</v>
      </c>
      <c r="C61" s="46">
        <f t="shared" si="33"/>
        <v>12</v>
      </c>
      <c r="D61" s="47" t="s">
        <v>495</v>
      </c>
      <c r="E61" s="54">
        <v>0.0</v>
      </c>
      <c r="F61" s="48">
        <f t="shared" si="34"/>
        <v>0</v>
      </c>
      <c r="G61" s="48">
        <f t="shared" si="35"/>
        <v>0</v>
      </c>
      <c r="H61" s="48">
        <f t="shared" si="36"/>
        <v>0</v>
      </c>
      <c r="I61" s="47" t="s">
        <v>475</v>
      </c>
      <c r="J61" s="45" t="s">
        <v>578</v>
      </c>
      <c r="K61" s="2"/>
      <c r="L61" s="2"/>
      <c r="M61" s="2"/>
      <c r="N61" s="2"/>
      <c r="O61" s="2"/>
      <c r="P61" s="2"/>
      <c r="Q61" s="2"/>
      <c r="R61" s="2"/>
      <c r="S61" s="2"/>
      <c r="T61" s="2"/>
      <c r="U61" s="2"/>
      <c r="V61" s="2"/>
      <c r="W61" s="2"/>
      <c r="X61" s="2"/>
      <c r="Y61" s="2"/>
      <c r="Z61" s="2"/>
    </row>
    <row r="62" ht="15.75" customHeight="1">
      <c r="A62" s="62"/>
      <c r="B62" s="62" t="s">
        <v>579</v>
      </c>
      <c r="C62" s="62"/>
      <c r="D62" s="62"/>
      <c r="E62" s="62"/>
      <c r="F62" s="62"/>
      <c r="G62" s="71">
        <f t="shared" ref="G62:H62" si="37">SUM(G49:G61)</f>
        <v>1036800</v>
      </c>
      <c r="H62" s="64">
        <f t="shared" si="37"/>
        <v>671.016712</v>
      </c>
      <c r="I62" s="62"/>
      <c r="J62" s="62"/>
      <c r="K62" s="2"/>
      <c r="L62" s="2"/>
      <c r="M62" s="2"/>
      <c r="N62" s="2"/>
      <c r="O62" s="2"/>
      <c r="P62" s="2"/>
      <c r="Q62" s="2"/>
      <c r="R62" s="2"/>
      <c r="S62" s="2"/>
      <c r="T62" s="2"/>
      <c r="U62" s="2"/>
      <c r="V62" s="2"/>
      <c r="W62" s="2"/>
      <c r="X62" s="2"/>
      <c r="Y62" s="2"/>
      <c r="Z62" s="2"/>
    </row>
    <row r="63" ht="18.0" customHeight="1">
      <c r="A63" s="37" t="s">
        <v>580</v>
      </c>
      <c r="B63" s="37"/>
      <c r="C63" s="37"/>
      <c r="D63" s="37"/>
      <c r="E63" s="37"/>
      <c r="F63" s="37"/>
      <c r="G63" s="37"/>
      <c r="H63" s="37"/>
      <c r="I63" s="37"/>
      <c r="J63" s="37"/>
      <c r="K63" s="2"/>
      <c r="L63" s="2"/>
      <c r="M63" s="2"/>
      <c r="N63" s="2"/>
      <c r="O63" s="2"/>
      <c r="P63" s="2"/>
      <c r="Q63" s="2"/>
      <c r="R63" s="2"/>
      <c r="S63" s="2"/>
      <c r="T63" s="2"/>
      <c r="U63" s="2"/>
      <c r="V63" s="2"/>
      <c r="W63" s="2"/>
      <c r="X63" s="2"/>
      <c r="Y63" s="2"/>
      <c r="Z63" s="2"/>
    </row>
    <row r="64" ht="37.5" customHeight="1">
      <c r="A64" s="40" t="s">
        <v>498</v>
      </c>
      <c r="B64" s="40" t="s">
        <v>581</v>
      </c>
      <c r="C64" s="72">
        <f>$C$98</f>
        <v>0.15</v>
      </c>
      <c r="D64" s="42" t="s">
        <v>582</v>
      </c>
      <c r="E64" s="60">
        <f>G21+G34+G41+G47+G62</f>
        <v>8176483.264</v>
      </c>
      <c r="F64" s="44">
        <f>E64/$C$74</f>
        <v>5291.818013</v>
      </c>
      <c r="G64" s="60">
        <f>IF(OR(C64="",E64=""),"",C64*E64)</f>
        <v>1226472.49</v>
      </c>
      <c r="H64" s="44">
        <f>IF(OR(C64="",F64=""),"",C64*F64)</f>
        <v>793.7727019</v>
      </c>
      <c r="I64" s="42"/>
      <c r="J64" s="40" t="s">
        <v>583</v>
      </c>
      <c r="K64" s="2"/>
      <c r="L64" s="2"/>
      <c r="M64" s="2"/>
      <c r="N64" s="2"/>
      <c r="O64" s="2"/>
      <c r="P64" s="2"/>
      <c r="Q64" s="2"/>
      <c r="R64" s="2"/>
      <c r="S64" s="2"/>
      <c r="T64" s="2"/>
      <c r="U64" s="2"/>
      <c r="V64" s="2"/>
      <c r="W64" s="2"/>
      <c r="X64" s="2"/>
      <c r="Y64" s="2"/>
      <c r="Z64" s="2"/>
    </row>
    <row r="65" ht="15.75" customHeight="1">
      <c r="A65" s="62"/>
      <c r="B65" s="62" t="s">
        <v>584</v>
      </c>
      <c r="C65" s="62"/>
      <c r="D65" s="62"/>
      <c r="E65" s="62"/>
      <c r="F65" s="62"/>
      <c r="G65" s="63">
        <f t="shared" ref="G65:H65" si="38">SUM(G64)</f>
        <v>1226472.49</v>
      </c>
      <c r="H65" s="64">
        <f t="shared" si="38"/>
        <v>793.7727019</v>
      </c>
      <c r="I65" s="62"/>
      <c r="J65" s="6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73"/>
      <c r="B67" s="73" t="s">
        <v>585</v>
      </c>
      <c r="C67" s="73"/>
      <c r="D67" s="73"/>
      <c r="E67" s="73"/>
      <c r="F67" s="73"/>
      <c r="G67" s="74">
        <f t="shared" ref="G67:H67" si="39">G21+G34+G41+G47+G62+G65</f>
        <v>9402955.753</v>
      </c>
      <c r="H67" s="75">
        <f t="shared" si="39"/>
        <v>6110.193741</v>
      </c>
      <c r="I67" s="73"/>
      <c r="J67" s="76" t="s">
        <v>586</v>
      </c>
      <c r="K67" s="2"/>
      <c r="L67" s="2"/>
      <c r="M67" s="2"/>
      <c r="N67" s="2"/>
      <c r="O67" s="2"/>
      <c r="P67" s="2"/>
      <c r="Q67" s="2"/>
      <c r="R67" s="2"/>
      <c r="S67" s="2"/>
      <c r="T67" s="2"/>
      <c r="U67" s="2"/>
      <c r="V67" s="2"/>
      <c r="W67" s="2"/>
      <c r="X67" s="2"/>
      <c r="Y67" s="2"/>
      <c r="Z67" s="2"/>
    </row>
    <row r="68" ht="15.75" customHeight="1">
      <c r="A68" s="73"/>
      <c r="B68" s="73" t="s">
        <v>587</v>
      </c>
      <c r="C68" s="73"/>
      <c r="D68" s="73"/>
      <c r="E68" s="73"/>
      <c r="F68" s="73"/>
      <c r="G68" s="74">
        <f>SUMIF($I$5:$I$65,"CAPEX",$G$5:$G$65)</f>
        <v>2592063.756</v>
      </c>
      <c r="H68" s="75">
        <f>SUMIF($I$5:$I$65,"CAPEX",$H$5:$H$65)</f>
        <v>1704.518707</v>
      </c>
      <c r="I68" s="73"/>
      <c r="J68" s="73"/>
      <c r="K68" s="2"/>
      <c r="L68" s="2"/>
      <c r="M68" s="2"/>
      <c r="N68" s="2"/>
      <c r="O68" s="2"/>
      <c r="P68" s="2"/>
      <c r="Q68" s="2"/>
      <c r="R68" s="2"/>
      <c r="S68" s="2"/>
      <c r="T68" s="2"/>
      <c r="U68" s="2"/>
      <c r="V68" s="2"/>
      <c r="W68" s="2"/>
      <c r="X68" s="2"/>
      <c r="Y68" s="2"/>
      <c r="Z68" s="2"/>
    </row>
    <row r="69" ht="15.75" customHeight="1">
      <c r="A69" s="73"/>
      <c r="B69" s="73" t="s">
        <v>588</v>
      </c>
      <c r="C69" s="73"/>
      <c r="D69" s="73"/>
      <c r="E69" s="73"/>
      <c r="F69" s="73"/>
      <c r="G69" s="74">
        <f>SUMIF($I$5:$I$65,"OPEX",$G$5:$G$65)</f>
        <v>5584419.508</v>
      </c>
      <c r="H69" s="75">
        <f>SUMIF($I$5:$I$65,"OPEX",$H$5:$H$65)</f>
        <v>3611.902332</v>
      </c>
      <c r="I69" s="73"/>
      <c r="J69" s="73"/>
      <c r="K69" s="2"/>
      <c r="L69" s="2"/>
      <c r="M69" s="2"/>
      <c r="N69" s="2"/>
      <c r="O69" s="2"/>
      <c r="P69" s="2"/>
      <c r="Q69" s="2"/>
      <c r="R69" s="2"/>
      <c r="S69" s="2"/>
      <c r="T69" s="2"/>
      <c r="U69" s="2"/>
      <c r="V69" s="2"/>
      <c r="W69" s="2"/>
      <c r="X69" s="2"/>
      <c r="Y69" s="2"/>
      <c r="Z69" s="2"/>
    </row>
    <row r="70" ht="15.75" customHeight="1">
      <c r="A70" s="73"/>
      <c r="B70" s="73" t="s">
        <v>589</v>
      </c>
      <c r="C70" s="73"/>
      <c r="D70" s="73"/>
      <c r="E70" s="73"/>
      <c r="F70" s="73"/>
      <c r="G70" s="77">
        <f>C7+C8+C9</f>
        <v>200</v>
      </c>
      <c r="H70" s="73"/>
      <c r="I70" s="73"/>
      <c r="J70" s="73"/>
      <c r="K70" s="2"/>
      <c r="L70" s="2"/>
      <c r="M70" s="2"/>
      <c r="N70" s="2"/>
      <c r="O70" s="2"/>
      <c r="P70" s="2"/>
      <c r="Q70" s="2"/>
      <c r="R70" s="2"/>
      <c r="S70" s="2"/>
      <c r="T70" s="2"/>
      <c r="U70" s="2"/>
      <c r="V70" s="2"/>
      <c r="W70" s="2"/>
      <c r="X70" s="2"/>
      <c r="Y70" s="2"/>
      <c r="Z70" s="2"/>
    </row>
    <row r="71" ht="15.75" customHeight="1">
      <c r="A71" s="73"/>
      <c r="B71" s="73" t="s">
        <v>590</v>
      </c>
      <c r="C71" s="73"/>
      <c r="D71" s="73"/>
      <c r="E71" s="73"/>
      <c r="F71" s="73"/>
      <c r="G71" s="78" t="str">
        <f>IF(Iteraciones!$B$22="","Falta el presupuesto de horas",IF(G70=Iteraciones!$B$22,"Coherente: las horas coinciden con las asignadas a las iteraciones (margen de contingencia del Capítulo V: "&amp;Iteraciones!$B$23&amp;" h)",IF(G70&gt;Iteraciones!$B$21,"Excede el presupuesto","Revisar: difiere de las horas asignadas")))</f>
        <v>Coherente: las horas coinciden con las asignadas a las iteraciones (margen de contingencia del Capítulo V: 10 h)</v>
      </c>
      <c r="H71" s="79"/>
      <c r="I71" s="79"/>
      <c r="J71" s="80"/>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81" t="s">
        <v>591</v>
      </c>
      <c r="B73" s="81"/>
      <c r="C73" s="81"/>
      <c r="D73" s="81"/>
      <c r="E73" s="81"/>
      <c r="F73" s="81"/>
      <c r="G73" s="81"/>
      <c r="H73" s="81"/>
      <c r="I73" s="81"/>
      <c r="J73" s="81"/>
      <c r="K73" s="2"/>
      <c r="L73" s="2"/>
      <c r="M73" s="2"/>
      <c r="N73" s="2"/>
      <c r="O73" s="2"/>
      <c r="P73" s="2"/>
      <c r="Q73" s="2"/>
      <c r="R73" s="2"/>
      <c r="S73" s="2"/>
      <c r="T73" s="2"/>
      <c r="U73" s="2"/>
      <c r="V73" s="2"/>
      <c r="W73" s="2"/>
      <c r="X73" s="2"/>
      <c r="Y73" s="2"/>
      <c r="Z73" s="2"/>
    </row>
    <row r="74" ht="27.75" customHeight="1">
      <c r="A74" s="2"/>
      <c r="B74" s="30" t="s">
        <v>592</v>
      </c>
      <c r="C74" s="82">
        <v>1545.118</v>
      </c>
      <c r="D74" s="2"/>
      <c r="E74" s="2"/>
      <c r="F74" s="2"/>
      <c r="G74" s="2"/>
      <c r="H74" s="2"/>
      <c r="I74" s="2"/>
      <c r="J74" s="30" t="s">
        <v>593</v>
      </c>
      <c r="K74" s="2"/>
      <c r="L74" s="2"/>
      <c r="M74" s="2"/>
      <c r="N74" s="2"/>
      <c r="O74" s="2"/>
      <c r="P74" s="2"/>
      <c r="Q74" s="2"/>
      <c r="R74" s="2"/>
      <c r="S74" s="2"/>
      <c r="T74" s="2"/>
      <c r="U74" s="2"/>
      <c r="V74" s="2"/>
      <c r="W74" s="2"/>
      <c r="X74" s="2"/>
      <c r="Y74" s="2"/>
      <c r="Z74" s="2"/>
    </row>
    <row r="75" ht="27.75" customHeight="1">
      <c r="A75" s="2"/>
      <c r="B75" s="30" t="s">
        <v>594</v>
      </c>
      <c r="C75" s="82">
        <v>1486.5</v>
      </c>
      <c r="D75" s="2"/>
      <c r="E75" s="2"/>
      <c r="F75" s="2"/>
      <c r="G75" s="2"/>
      <c r="H75" s="2"/>
      <c r="I75" s="2"/>
      <c r="J75" s="30" t="s">
        <v>595</v>
      </c>
      <c r="K75" s="2"/>
      <c r="L75" s="2"/>
      <c r="M75" s="2"/>
      <c r="N75" s="2"/>
      <c r="O75" s="2"/>
      <c r="P75" s="2"/>
      <c r="Q75" s="2"/>
      <c r="R75" s="2"/>
      <c r="S75" s="2"/>
      <c r="T75" s="2"/>
      <c r="U75" s="2"/>
      <c r="V75" s="2"/>
      <c r="W75" s="2"/>
      <c r="X75" s="2"/>
      <c r="Y75" s="2"/>
      <c r="Z75" s="2"/>
    </row>
    <row r="76" ht="27.75" customHeight="1">
      <c r="A76" s="2"/>
      <c r="B76" s="30" t="s">
        <v>596</v>
      </c>
      <c r="C76" s="83">
        <v>21600.0</v>
      </c>
      <c r="D76" s="2"/>
      <c r="E76" s="2"/>
      <c r="F76" s="2"/>
      <c r="G76" s="2"/>
      <c r="H76" s="2"/>
      <c r="I76" s="2"/>
      <c r="J76" s="30" t="s">
        <v>597</v>
      </c>
      <c r="K76" s="2"/>
      <c r="L76" s="2"/>
      <c r="M76" s="2"/>
      <c r="N76" s="2"/>
      <c r="O76" s="2"/>
      <c r="P76" s="2"/>
      <c r="Q76" s="2"/>
      <c r="R76" s="2"/>
      <c r="S76" s="2"/>
      <c r="T76" s="2"/>
      <c r="U76" s="2"/>
      <c r="V76" s="2"/>
      <c r="W76" s="2"/>
      <c r="X76" s="2"/>
      <c r="Y76" s="2"/>
      <c r="Z76" s="2"/>
    </row>
    <row r="77" ht="15.75" customHeight="1">
      <c r="A77" s="2"/>
      <c r="B77" s="30" t="s">
        <v>598</v>
      </c>
      <c r="C77" s="84">
        <f>Iteraciones!B22</f>
        <v>200</v>
      </c>
      <c r="D77" s="2"/>
      <c r="E77" s="2"/>
      <c r="F77" s="2"/>
      <c r="G77" s="2"/>
      <c r="H77" s="2"/>
      <c r="I77" s="2"/>
      <c r="J77" s="30" t="s">
        <v>599</v>
      </c>
      <c r="K77" s="2"/>
      <c r="L77" s="2"/>
      <c r="M77" s="2"/>
      <c r="N77" s="2"/>
      <c r="O77" s="2"/>
      <c r="P77" s="2"/>
      <c r="Q77" s="2"/>
      <c r="R77" s="2"/>
      <c r="S77" s="2"/>
      <c r="T77" s="2"/>
      <c r="U77" s="2"/>
      <c r="V77" s="2"/>
      <c r="W77" s="2"/>
      <c r="X77" s="2"/>
      <c r="Y77" s="2"/>
      <c r="Z77" s="2"/>
    </row>
    <row r="78" ht="25.5" customHeight="1">
      <c r="A78" s="2"/>
      <c r="B78" s="30" t="s">
        <v>600</v>
      </c>
      <c r="C78" s="85">
        <v>3.0</v>
      </c>
      <c r="D78" s="2"/>
      <c r="E78" s="2"/>
      <c r="F78" s="2"/>
      <c r="G78" s="2"/>
      <c r="H78" s="2"/>
      <c r="I78" s="2"/>
      <c r="J78" s="30" t="s">
        <v>601</v>
      </c>
      <c r="K78" s="2"/>
      <c r="L78" s="2"/>
      <c r="M78" s="2"/>
      <c r="N78" s="2"/>
      <c r="O78" s="2"/>
      <c r="P78" s="2"/>
      <c r="Q78" s="2"/>
      <c r="R78" s="2"/>
      <c r="S78" s="2"/>
      <c r="T78" s="2"/>
      <c r="U78" s="2"/>
      <c r="V78" s="2"/>
      <c r="W78" s="2"/>
      <c r="X78" s="2"/>
      <c r="Y78" s="2"/>
      <c r="Z78" s="2"/>
    </row>
    <row r="79" ht="15.75" customHeight="1">
      <c r="A79" s="2"/>
      <c r="B79" s="30" t="s">
        <v>602</v>
      </c>
      <c r="C79" s="85">
        <v>4.0</v>
      </c>
      <c r="D79" s="2"/>
      <c r="E79" s="2"/>
      <c r="F79" s="2"/>
      <c r="G79" s="2"/>
      <c r="H79" s="2"/>
      <c r="I79" s="2"/>
      <c r="J79" s="30" t="s">
        <v>603</v>
      </c>
      <c r="K79" s="2"/>
      <c r="L79" s="2"/>
      <c r="M79" s="2"/>
      <c r="N79" s="2"/>
      <c r="O79" s="2"/>
      <c r="P79" s="2"/>
      <c r="Q79" s="2"/>
      <c r="R79" s="2"/>
      <c r="S79" s="2"/>
      <c r="T79" s="2"/>
      <c r="U79" s="2"/>
      <c r="V79" s="2"/>
      <c r="W79" s="2"/>
      <c r="X79" s="2"/>
      <c r="Y79" s="2"/>
      <c r="Z79" s="2"/>
    </row>
    <row r="80" ht="15.75" customHeight="1">
      <c r="A80" s="2"/>
      <c r="B80" s="30" t="s">
        <v>604</v>
      </c>
      <c r="C80" s="85">
        <v>720.0</v>
      </c>
      <c r="D80" s="2"/>
      <c r="E80" s="2"/>
      <c r="F80" s="2"/>
      <c r="G80" s="2"/>
      <c r="H80" s="2"/>
      <c r="I80" s="2"/>
      <c r="J80" s="30" t="s">
        <v>605</v>
      </c>
      <c r="K80" s="2"/>
      <c r="L80" s="2"/>
      <c r="M80" s="2"/>
      <c r="N80" s="2"/>
      <c r="O80" s="2"/>
      <c r="P80" s="2"/>
      <c r="Q80" s="2"/>
      <c r="R80" s="2"/>
      <c r="S80" s="2"/>
      <c r="T80" s="2"/>
      <c r="U80" s="2"/>
      <c r="V80" s="2"/>
      <c r="W80" s="2"/>
      <c r="X80" s="2"/>
      <c r="Y80" s="2"/>
      <c r="Z80" s="2"/>
    </row>
    <row r="81" ht="15.75" customHeight="1">
      <c r="A81" s="2"/>
      <c r="B81" s="30" t="s">
        <v>606</v>
      </c>
      <c r="C81" s="86">
        <v>46259.0</v>
      </c>
      <c r="D81" s="2"/>
      <c r="E81" s="2"/>
      <c r="F81" s="2"/>
      <c r="G81" s="2"/>
      <c r="H81" s="2"/>
      <c r="I81" s="2"/>
      <c r="J81" s="30" t="s">
        <v>607</v>
      </c>
      <c r="K81" s="2"/>
      <c r="L81" s="2"/>
      <c r="M81" s="2"/>
      <c r="N81" s="2"/>
      <c r="O81" s="2"/>
      <c r="P81" s="2"/>
      <c r="Q81" s="2"/>
      <c r="R81" s="2"/>
      <c r="S81" s="2"/>
      <c r="T81" s="2"/>
      <c r="U81" s="2"/>
      <c r="V81" s="2"/>
      <c r="W81" s="2"/>
      <c r="X81" s="2"/>
      <c r="Y81" s="2"/>
      <c r="Z81" s="2"/>
    </row>
    <row r="82" ht="15.75" customHeight="1">
      <c r="A82" s="2"/>
      <c r="B82" s="30" t="s">
        <v>608</v>
      </c>
      <c r="C82" s="86">
        <v>46291.0</v>
      </c>
      <c r="D82" s="2"/>
      <c r="E82" s="2"/>
      <c r="F82" s="2"/>
      <c r="G82" s="2"/>
      <c r="H82" s="2"/>
      <c r="I82" s="2"/>
      <c r="J82" s="30" t="s">
        <v>607</v>
      </c>
      <c r="K82" s="2"/>
      <c r="L82" s="2"/>
      <c r="M82" s="2"/>
      <c r="N82" s="2"/>
      <c r="O82" s="2"/>
      <c r="P82" s="2"/>
      <c r="Q82" s="2"/>
      <c r="R82" s="2"/>
      <c r="S82" s="2"/>
      <c r="T82" s="2"/>
      <c r="U82" s="2"/>
      <c r="V82" s="2"/>
      <c r="W82" s="2"/>
      <c r="X82" s="2"/>
      <c r="Y82" s="2"/>
      <c r="Z82" s="2"/>
    </row>
    <row r="83" ht="15.75" customHeight="1">
      <c r="A83" s="2"/>
      <c r="B83" s="30" t="s">
        <v>609</v>
      </c>
      <c r="C83" s="87">
        <f>(C82-C81+1)/30</f>
        <v>1.1</v>
      </c>
      <c r="D83" s="2"/>
      <c r="E83" s="2"/>
      <c r="F83" s="2"/>
      <c r="G83" s="2"/>
      <c r="H83" s="2"/>
      <c r="I83" s="2"/>
      <c r="J83" s="30" t="s">
        <v>610</v>
      </c>
      <c r="K83" s="2"/>
      <c r="L83" s="2"/>
      <c r="M83" s="2"/>
      <c r="N83" s="2"/>
      <c r="O83" s="2"/>
      <c r="P83" s="2"/>
      <c r="Q83" s="2"/>
      <c r="R83" s="2"/>
      <c r="S83" s="2"/>
      <c r="T83" s="2"/>
      <c r="U83" s="2"/>
      <c r="V83" s="2"/>
      <c r="W83" s="2"/>
      <c r="X83" s="2"/>
      <c r="Y83" s="2"/>
      <c r="Z83" s="2"/>
    </row>
    <row r="84" ht="15.75" customHeight="1">
      <c r="A84" s="2"/>
      <c r="B84" s="30" t="s">
        <v>611</v>
      </c>
      <c r="C84" s="88">
        <v>2.4</v>
      </c>
      <c r="D84" s="2"/>
      <c r="E84" s="2"/>
      <c r="F84" s="2"/>
      <c r="G84" s="2"/>
      <c r="H84" s="2"/>
      <c r="I84" s="2"/>
      <c r="J84" s="30" t="s">
        <v>612</v>
      </c>
      <c r="K84" s="2"/>
      <c r="L84" s="2"/>
      <c r="M84" s="2"/>
      <c r="N84" s="2"/>
      <c r="O84" s="2"/>
      <c r="P84" s="2"/>
      <c r="Q84" s="2"/>
      <c r="R84" s="2"/>
      <c r="S84" s="2"/>
      <c r="T84" s="2"/>
      <c r="U84" s="2"/>
      <c r="V84" s="2"/>
      <c r="W84" s="2"/>
      <c r="X84" s="2"/>
      <c r="Y84" s="2"/>
      <c r="Z84" s="2"/>
    </row>
    <row r="85" ht="27.75" customHeight="1">
      <c r="A85" s="2"/>
      <c r="B85" s="30" t="s">
        <v>613</v>
      </c>
      <c r="C85" s="88">
        <v>11.5</v>
      </c>
      <c r="D85" s="2"/>
      <c r="E85" s="2"/>
      <c r="F85" s="2"/>
      <c r="G85" s="2"/>
      <c r="H85" s="2"/>
      <c r="I85" s="2"/>
      <c r="J85" s="30" t="s">
        <v>614</v>
      </c>
      <c r="K85" s="2"/>
      <c r="L85" s="2"/>
      <c r="M85" s="2"/>
      <c r="N85" s="2"/>
      <c r="O85" s="2"/>
      <c r="P85" s="2"/>
      <c r="Q85" s="2"/>
      <c r="R85" s="2"/>
      <c r="S85" s="2"/>
      <c r="T85" s="2"/>
      <c r="U85" s="2"/>
      <c r="V85" s="2"/>
      <c r="W85" s="2"/>
      <c r="X85" s="2"/>
      <c r="Y85" s="2"/>
      <c r="Z85" s="2"/>
    </row>
    <row r="86" ht="27.75" customHeight="1">
      <c r="A86" s="2"/>
      <c r="B86" s="30" t="s">
        <v>615</v>
      </c>
      <c r="C86" s="89">
        <v>38385.01</v>
      </c>
      <c r="D86" s="2"/>
      <c r="E86" s="2"/>
      <c r="F86" s="2"/>
      <c r="G86" s="2"/>
      <c r="H86" s="2"/>
      <c r="I86" s="2"/>
      <c r="J86" s="30" t="s">
        <v>616</v>
      </c>
      <c r="K86" s="2"/>
      <c r="L86" s="2"/>
      <c r="M86" s="2"/>
      <c r="N86" s="2"/>
      <c r="O86" s="2"/>
      <c r="P86" s="2"/>
      <c r="Q86" s="2"/>
      <c r="R86" s="2"/>
      <c r="S86" s="2"/>
      <c r="T86" s="2"/>
      <c r="U86" s="2"/>
      <c r="V86" s="2"/>
      <c r="W86" s="2"/>
      <c r="X86" s="2"/>
      <c r="Y86" s="2"/>
      <c r="Z86" s="2"/>
    </row>
    <row r="87" ht="15.75" customHeight="1">
      <c r="A87" s="2"/>
      <c r="B87" s="30" t="s">
        <v>617</v>
      </c>
      <c r="C87" s="90">
        <v>167772.9</v>
      </c>
      <c r="D87" s="2"/>
      <c r="E87" s="2"/>
      <c r="F87" s="2"/>
      <c r="G87" s="2"/>
      <c r="H87" s="2"/>
      <c r="I87" s="2"/>
      <c r="J87" s="30" t="s">
        <v>618</v>
      </c>
      <c r="K87" s="2"/>
      <c r="L87" s="2"/>
      <c r="M87" s="2"/>
      <c r="N87" s="2"/>
      <c r="O87" s="2"/>
      <c r="P87" s="2"/>
      <c r="Q87" s="2"/>
      <c r="R87" s="2"/>
      <c r="S87" s="2"/>
      <c r="T87" s="2"/>
      <c r="U87" s="2"/>
      <c r="V87" s="2"/>
      <c r="W87" s="2"/>
      <c r="X87" s="2"/>
      <c r="Y87" s="2"/>
      <c r="Z87" s="2"/>
    </row>
    <row r="88" ht="15.75" customHeight="1">
      <c r="A88" s="2"/>
      <c r="B88" s="30" t="s">
        <v>619</v>
      </c>
      <c r="C88" s="91">
        <v>658.0</v>
      </c>
      <c r="D88" s="2"/>
      <c r="E88" s="2"/>
      <c r="F88" s="2"/>
      <c r="G88" s="2"/>
      <c r="H88" s="2"/>
      <c r="I88" s="2"/>
      <c r="J88" s="30" t="s">
        <v>620</v>
      </c>
      <c r="K88" s="2"/>
      <c r="L88" s="2"/>
      <c r="M88" s="2"/>
      <c r="N88" s="2"/>
      <c r="O88" s="2"/>
      <c r="P88" s="2"/>
      <c r="Q88" s="2"/>
      <c r="R88" s="2"/>
      <c r="S88" s="2"/>
      <c r="T88" s="2"/>
      <c r="U88" s="2"/>
      <c r="V88" s="2"/>
      <c r="W88" s="2"/>
      <c r="X88" s="2"/>
      <c r="Y88" s="2"/>
      <c r="Z88" s="2"/>
    </row>
    <row r="89" ht="15.75" customHeight="1">
      <c r="A89" s="2"/>
      <c r="B89" s="30" t="s">
        <v>621</v>
      </c>
      <c r="C89" s="91">
        <v>100.0</v>
      </c>
      <c r="D89" s="2" t="s">
        <v>622</v>
      </c>
      <c r="E89" s="2"/>
      <c r="F89" s="2"/>
      <c r="G89" s="2"/>
      <c r="H89" s="2"/>
      <c r="I89" s="2"/>
      <c r="J89" s="30" t="s">
        <v>623</v>
      </c>
      <c r="K89" s="2"/>
      <c r="L89" s="2"/>
      <c r="M89" s="2"/>
      <c r="N89" s="2"/>
      <c r="O89" s="2"/>
      <c r="P89" s="2"/>
      <c r="Q89" s="2"/>
      <c r="R89" s="2"/>
      <c r="S89" s="2"/>
      <c r="T89" s="2"/>
      <c r="U89" s="2"/>
      <c r="V89" s="2"/>
      <c r="W89" s="2"/>
      <c r="X89" s="2"/>
      <c r="Y89" s="2"/>
      <c r="Z89" s="2"/>
    </row>
    <row r="90" ht="15.75" customHeight="1">
      <c r="A90" s="2"/>
      <c r="B90" s="30" t="s">
        <v>624</v>
      </c>
      <c r="C90" s="83">
        <v>64500.0</v>
      </c>
      <c r="D90" s="2"/>
      <c r="E90" s="2"/>
      <c r="F90" s="2"/>
      <c r="G90" s="2"/>
      <c r="H90" s="2"/>
      <c r="I90" s="2"/>
      <c r="J90" s="30" t="s">
        <v>625</v>
      </c>
      <c r="K90" s="2"/>
      <c r="L90" s="2"/>
      <c r="M90" s="2"/>
      <c r="N90" s="2"/>
      <c r="O90" s="2"/>
      <c r="P90" s="2"/>
      <c r="Q90" s="2"/>
      <c r="R90" s="2"/>
      <c r="S90" s="2"/>
      <c r="T90" s="2"/>
      <c r="U90" s="2"/>
      <c r="V90" s="2"/>
      <c r="W90" s="2"/>
      <c r="X90" s="2"/>
      <c r="Y90" s="2"/>
      <c r="Z90" s="2"/>
    </row>
    <row r="91" ht="15.75" customHeight="1">
      <c r="A91" s="2"/>
      <c r="B91" s="30" t="s">
        <v>626</v>
      </c>
      <c r="C91" s="85">
        <v>3.0</v>
      </c>
      <c r="D91" s="2"/>
      <c r="E91" s="2"/>
      <c r="F91" s="2"/>
      <c r="G91" s="2"/>
      <c r="H91" s="2"/>
      <c r="I91" s="2"/>
      <c r="J91" s="30" t="s">
        <v>627</v>
      </c>
      <c r="K91" s="2"/>
      <c r="L91" s="2"/>
      <c r="M91" s="2"/>
      <c r="N91" s="2"/>
      <c r="O91" s="2"/>
      <c r="P91" s="2"/>
      <c r="Q91" s="2"/>
      <c r="R91" s="2"/>
      <c r="S91" s="2"/>
      <c r="T91" s="2"/>
      <c r="U91" s="2"/>
      <c r="V91" s="2"/>
      <c r="W91" s="2"/>
      <c r="X91" s="2"/>
      <c r="Y91" s="2"/>
      <c r="Z91" s="2"/>
    </row>
    <row r="92" ht="15.75" customHeight="1">
      <c r="A92" s="2"/>
      <c r="B92" s="30" t="s">
        <v>628</v>
      </c>
      <c r="C92" s="85">
        <v>12.0</v>
      </c>
      <c r="D92" s="2"/>
      <c r="E92" s="2"/>
      <c r="F92" s="2"/>
      <c r="G92" s="2"/>
      <c r="H92" s="2"/>
      <c r="I92" s="2"/>
      <c r="J92" s="30" t="s">
        <v>629</v>
      </c>
      <c r="K92" s="2"/>
      <c r="L92" s="2"/>
      <c r="M92" s="2"/>
      <c r="N92" s="2"/>
      <c r="O92" s="2"/>
      <c r="P92" s="2"/>
      <c r="Q92" s="2"/>
      <c r="R92" s="2"/>
      <c r="S92" s="2"/>
      <c r="T92" s="2"/>
      <c r="U92" s="2"/>
      <c r="V92" s="2"/>
      <c r="W92" s="2"/>
      <c r="X92" s="2"/>
      <c r="Y92" s="2"/>
      <c r="Z92" s="2"/>
    </row>
    <row r="93" ht="15.75" customHeight="1">
      <c r="A93" s="2"/>
      <c r="B93" s="30" t="s">
        <v>630</v>
      </c>
      <c r="C93" s="83">
        <v>10502.0</v>
      </c>
      <c r="D93" s="2"/>
      <c r="E93" s="2"/>
      <c r="F93" s="2"/>
      <c r="G93" s="2"/>
      <c r="H93" s="2"/>
      <c r="I93" s="2"/>
      <c r="J93" s="30" t="s">
        <v>631</v>
      </c>
      <c r="K93" s="2"/>
      <c r="L93" s="2"/>
      <c r="M93" s="2"/>
      <c r="N93" s="2"/>
      <c r="O93" s="2"/>
      <c r="P93" s="2"/>
      <c r="Q93" s="2"/>
      <c r="R93" s="2"/>
      <c r="S93" s="2"/>
      <c r="T93" s="2"/>
      <c r="U93" s="2"/>
      <c r="V93" s="2"/>
      <c r="W93" s="2"/>
      <c r="X93" s="2"/>
      <c r="Y93" s="2"/>
      <c r="Z93" s="2"/>
    </row>
    <row r="94" ht="15.75" customHeight="1">
      <c r="A94" s="2"/>
      <c r="B94" s="30" t="s">
        <v>632</v>
      </c>
      <c r="C94" s="83">
        <v>100000.0</v>
      </c>
      <c r="D94" s="2"/>
      <c r="E94" s="2"/>
      <c r="F94" s="2"/>
      <c r="G94" s="2"/>
      <c r="H94" s="2"/>
      <c r="I94" s="2"/>
      <c r="J94" s="30" t="s">
        <v>633</v>
      </c>
      <c r="K94" s="2"/>
      <c r="L94" s="2"/>
      <c r="M94" s="2"/>
      <c r="N94" s="2"/>
      <c r="O94" s="2"/>
      <c r="P94" s="2"/>
      <c r="Q94" s="2"/>
      <c r="R94" s="2"/>
      <c r="S94" s="2"/>
      <c r="T94" s="2"/>
      <c r="U94" s="2"/>
      <c r="V94" s="2"/>
      <c r="W94" s="2"/>
      <c r="X94" s="2"/>
      <c r="Y94" s="2"/>
      <c r="Z94" s="2"/>
    </row>
    <row r="95" ht="15.75" customHeight="1">
      <c r="A95" s="2"/>
      <c r="B95" s="30" t="s">
        <v>634</v>
      </c>
      <c r="C95" s="83">
        <v>67999.0</v>
      </c>
      <c r="D95" s="2"/>
      <c r="E95" s="2"/>
      <c r="F95" s="2"/>
      <c r="G95" s="2"/>
      <c r="H95" s="2"/>
      <c r="I95" s="2"/>
      <c r="J95" s="30" t="s">
        <v>635</v>
      </c>
      <c r="K95" s="2"/>
      <c r="L95" s="2"/>
      <c r="M95" s="2"/>
      <c r="N95" s="2"/>
      <c r="O95" s="2"/>
      <c r="P95" s="2"/>
      <c r="Q95" s="2"/>
      <c r="R95" s="2"/>
      <c r="S95" s="2"/>
      <c r="T95" s="2"/>
      <c r="U95" s="2"/>
      <c r="V95" s="2"/>
      <c r="W95" s="2"/>
      <c r="X95" s="2"/>
      <c r="Y95" s="2"/>
      <c r="Z95" s="2"/>
    </row>
    <row r="96" ht="15.75" customHeight="1">
      <c r="A96" s="2"/>
      <c r="B96" s="30" t="s">
        <v>636</v>
      </c>
      <c r="C96" s="85">
        <v>12.0</v>
      </c>
      <c r="D96" s="2"/>
      <c r="E96" s="2"/>
      <c r="F96" s="2"/>
      <c r="G96" s="2"/>
      <c r="H96" s="2"/>
      <c r="I96" s="2"/>
      <c r="J96" s="30" t="s">
        <v>637</v>
      </c>
      <c r="K96" s="2"/>
      <c r="L96" s="2"/>
      <c r="M96" s="2"/>
      <c r="N96" s="2"/>
      <c r="O96" s="2"/>
      <c r="P96" s="2"/>
      <c r="Q96" s="2"/>
      <c r="R96" s="2"/>
      <c r="S96" s="2"/>
      <c r="T96" s="2"/>
      <c r="U96" s="2"/>
      <c r="V96" s="2"/>
      <c r="W96" s="2"/>
      <c r="X96" s="2"/>
      <c r="Y96" s="2"/>
      <c r="Z96" s="2"/>
    </row>
    <row r="97" ht="15.75" customHeight="1">
      <c r="A97" s="2"/>
      <c r="B97" s="30" t="s">
        <v>638</v>
      </c>
      <c r="C97" s="85">
        <v>4.0</v>
      </c>
      <c r="D97" s="2"/>
      <c r="E97" s="2"/>
      <c r="F97" s="2"/>
      <c r="G97" s="2"/>
      <c r="H97" s="2"/>
      <c r="I97" s="2"/>
      <c r="J97" s="30" t="s">
        <v>639</v>
      </c>
      <c r="K97" s="2"/>
      <c r="L97" s="2"/>
      <c r="M97" s="2"/>
      <c r="N97" s="2"/>
      <c r="O97" s="2"/>
      <c r="P97" s="2"/>
      <c r="Q97" s="2"/>
      <c r="R97" s="2"/>
      <c r="S97" s="2"/>
      <c r="T97" s="2"/>
      <c r="U97" s="2"/>
      <c r="V97" s="2"/>
      <c r="W97" s="2"/>
      <c r="X97" s="2"/>
      <c r="Y97" s="2"/>
      <c r="Z97" s="2"/>
    </row>
    <row r="98" ht="15.0" customHeight="1">
      <c r="A98" s="2"/>
      <c r="B98" s="30" t="s">
        <v>640</v>
      </c>
      <c r="C98" s="92">
        <v>0.15</v>
      </c>
      <c r="D98" s="2"/>
      <c r="E98" s="2"/>
      <c r="F98" s="2"/>
      <c r="G98" s="2"/>
      <c r="H98" s="2"/>
      <c r="I98" s="2"/>
      <c r="J98" s="30" t="s">
        <v>641</v>
      </c>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1:J1"/>
    <mergeCell ref="A2:J2"/>
    <mergeCell ref="G71:J71"/>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58.0"/>
    <col customWidth="1" min="2" max="2" width="16.0"/>
    <col customWidth="1" min="3" max="3" width="73.86"/>
    <col customWidth="1" min="4" max="6" width="8.71"/>
  </cols>
  <sheetData>
    <row r="1" ht="19.5" customHeight="1">
      <c r="A1" s="14" t="s">
        <v>642</v>
      </c>
      <c r="H1" s="2"/>
      <c r="I1" s="2"/>
      <c r="J1" s="2"/>
      <c r="K1" s="2"/>
      <c r="L1" s="2"/>
      <c r="M1" s="2"/>
      <c r="N1" s="2"/>
      <c r="O1" s="2"/>
      <c r="P1" s="2"/>
      <c r="Q1" s="2"/>
      <c r="R1" s="2"/>
      <c r="S1" s="2"/>
      <c r="T1" s="2"/>
      <c r="U1" s="2"/>
      <c r="V1" s="2"/>
      <c r="W1" s="2"/>
      <c r="X1" s="2"/>
      <c r="Y1" s="2"/>
      <c r="Z1" s="2"/>
    </row>
    <row r="2" ht="18.75" customHeight="1">
      <c r="A2" s="15" t="s">
        <v>643</v>
      </c>
      <c r="H2" s="2"/>
      <c r="I2" s="2"/>
      <c r="J2" s="2"/>
      <c r="K2" s="2"/>
      <c r="L2" s="2"/>
      <c r="M2" s="2"/>
      <c r="N2" s="2"/>
      <c r="O2" s="2"/>
      <c r="P2" s="2"/>
      <c r="Q2" s="2"/>
      <c r="R2" s="2"/>
      <c r="S2" s="2"/>
      <c r="T2" s="2"/>
      <c r="U2" s="2"/>
      <c r="V2" s="2"/>
      <c r="W2" s="2"/>
      <c r="X2" s="2"/>
      <c r="Y2" s="2"/>
      <c r="Z2" s="2"/>
    </row>
    <row r="3" ht="9.75" customHeight="1">
      <c r="A3" s="2"/>
      <c r="B3" s="2"/>
      <c r="C3" s="2"/>
      <c r="D3" s="2"/>
      <c r="E3" s="2"/>
      <c r="F3" s="2"/>
      <c r="G3" s="2"/>
      <c r="H3" s="2"/>
      <c r="I3" s="2"/>
      <c r="J3" s="2"/>
      <c r="K3" s="2"/>
      <c r="L3" s="2"/>
      <c r="M3" s="2"/>
      <c r="N3" s="2"/>
      <c r="O3" s="2"/>
      <c r="P3" s="2"/>
      <c r="Q3" s="2"/>
      <c r="R3" s="2"/>
      <c r="S3" s="2"/>
      <c r="T3" s="2"/>
      <c r="U3" s="2"/>
      <c r="V3" s="2"/>
      <c r="W3" s="2"/>
      <c r="X3" s="2"/>
      <c r="Y3" s="2"/>
      <c r="Z3" s="2"/>
    </row>
    <row r="4" ht="30.0" customHeight="1">
      <c r="A4" s="16" t="s">
        <v>644</v>
      </c>
      <c r="B4" s="16" t="s">
        <v>645</v>
      </c>
      <c r="C4" s="16" t="s">
        <v>646</v>
      </c>
      <c r="D4" s="2"/>
      <c r="E4" s="2"/>
      <c r="F4" s="2"/>
      <c r="G4" s="2"/>
      <c r="H4" s="2"/>
      <c r="I4" s="2"/>
      <c r="J4" s="2"/>
      <c r="K4" s="2"/>
      <c r="L4" s="2"/>
      <c r="M4" s="2"/>
      <c r="N4" s="2"/>
      <c r="O4" s="2"/>
      <c r="P4" s="2"/>
      <c r="Q4" s="2"/>
      <c r="R4" s="2"/>
      <c r="S4" s="2"/>
      <c r="T4" s="2"/>
      <c r="U4" s="2"/>
      <c r="V4" s="2"/>
      <c r="W4" s="2"/>
      <c r="X4" s="2"/>
      <c r="Y4" s="2"/>
      <c r="Z4" s="2"/>
    </row>
    <row r="5" ht="30.0" customHeight="1">
      <c r="A5" s="93" t="s">
        <v>647</v>
      </c>
      <c r="B5" s="94">
        <f>COUNTIF('Catálogo'!$A$5:$A$201,"?*")</f>
        <v>17</v>
      </c>
      <c r="C5" s="95" t="s">
        <v>648</v>
      </c>
      <c r="D5" s="2"/>
      <c r="E5" s="2"/>
      <c r="F5" s="2"/>
      <c r="G5" s="2"/>
      <c r="H5" s="2"/>
      <c r="I5" s="2"/>
      <c r="J5" s="2"/>
      <c r="K5" s="2"/>
      <c r="L5" s="2"/>
      <c r="M5" s="2"/>
      <c r="N5" s="2"/>
      <c r="O5" s="2"/>
      <c r="P5" s="2"/>
      <c r="Q5" s="2"/>
      <c r="R5" s="2"/>
      <c r="S5" s="2"/>
      <c r="T5" s="2"/>
      <c r="U5" s="2"/>
      <c r="V5" s="2"/>
      <c r="W5" s="2"/>
      <c r="X5" s="2"/>
      <c r="Y5" s="2"/>
      <c r="Z5" s="2"/>
    </row>
    <row r="6" ht="30.0" customHeight="1">
      <c r="A6" s="93" t="s">
        <v>649</v>
      </c>
      <c r="B6" s="94">
        <f>COUNTIFS('Catálogo'!$A$5:$A$201,"?*",'Catálogo'!$G$5:$G$201,"?*")</f>
        <v>17</v>
      </c>
      <c r="C6" s="95" t="s">
        <v>650</v>
      </c>
      <c r="D6" s="2"/>
      <c r="E6" s="2"/>
      <c r="F6" s="2"/>
      <c r="G6" s="2"/>
      <c r="H6" s="2"/>
      <c r="I6" s="2"/>
      <c r="J6" s="2"/>
      <c r="K6" s="2"/>
      <c r="L6" s="2"/>
      <c r="M6" s="2"/>
      <c r="N6" s="2"/>
      <c r="O6" s="2"/>
      <c r="P6" s="2"/>
      <c r="Q6" s="2"/>
      <c r="R6" s="2"/>
      <c r="S6" s="2"/>
      <c r="T6" s="2"/>
      <c r="U6" s="2"/>
      <c r="V6" s="2"/>
      <c r="W6" s="2"/>
      <c r="X6" s="2"/>
      <c r="Y6" s="2"/>
      <c r="Z6" s="2"/>
    </row>
    <row r="7" ht="30.0" customHeight="1">
      <c r="A7" s="93" t="s">
        <v>651</v>
      </c>
      <c r="B7" s="94">
        <f>COUNTIFS('Catálogo'!$A$5:$A$201,"?*",'Catálogo'!$H$5:$H$201,"?*")</f>
        <v>17</v>
      </c>
      <c r="C7" s="95" t="s">
        <v>652</v>
      </c>
      <c r="D7" s="2"/>
      <c r="E7" s="2"/>
      <c r="F7" s="2"/>
      <c r="G7" s="2"/>
      <c r="H7" s="2"/>
      <c r="I7" s="2"/>
      <c r="J7" s="2"/>
      <c r="K7" s="2"/>
      <c r="L7" s="2"/>
      <c r="M7" s="2"/>
      <c r="N7" s="2"/>
      <c r="O7" s="2"/>
      <c r="P7" s="2"/>
      <c r="Q7" s="2"/>
      <c r="R7" s="2"/>
      <c r="S7" s="2"/>
      <c r="T7" s="2"/>
      <c r="U7" s="2"/>
      <c r="V7" s="2"/>
      <c r="W7" s="2"/>
      <c r="X7" s="2"/>
      <c r="Y7" s="2"/>
      <c r="Z7" s="2"/>
    </row>
    <row r="8" ht="30.0" customHeight="1">
      <c r="A8" s="93" t="s">
        <v>653</v>
      </c>
      <c r="B8" s="94">
        <f>COUNTIFS('Catálogo'!$A$5:$A$201,"?*",'Catálogo'!$C$5:$C$201,"No funcional")</f>
        <v>5</v>
      </c>
      <c r="C8" s="95" t="s">
        <v>654</v>
      </c>
      <c r="D8" s="2"/>
      <c r="E8" s="2"/>
      <c r="F8" s="2"/>
      <c r="G8" s="2"/>
      <c r="H8" s="2"/>
      <c r="I8" s="2"/>
      <c r="J8" s="2"/>
      <c r="K8" s="2"/>
      <c r="L8" s="2"/>
      <c r="M8" s="2"/>
      <c r="N8" s="2"/>
      <c r="O8" s="2"/>
      <c r="P8" s="2"/>
      <c r="Q8" s="2"/>
      <c r="R8" s="2"/>
      <c r="S8" s="2"/>
      <c r="T8" s="2"/>
      <c r="U8" s="2"/>
      <c r="V8" s="2"/>
      <c r="W8" s="2"/>
      <c r="X8" s="2"/>
      <c r="Y8" s="2"/>
      <c r="Z8" s="2"/>
    </row>
    <row r="9" ht="30.0" customHeight="1">
      <c r="A9" s="93" t="s">
        <v>655</v>
      </c>
      <c r="B9" s="94">
        <f>COUNTIFS('Catálogo'!$C$5:$C$201,"No funcional",'Catálogo'!$D$5:$D$201,"")</f>
        <v>0</v>
      </c>
      <c r="C9" s="95" t="s">
        <v>656</v>
      </c>
      <c r="D9" s="2"/>
      <c r="E9" s="2"/>
      <c r="F9" s="2"/>
      <c r="G9" s="2"/>
      <c r="H9" s="2"/>
      <c r="I9" s="2"/>
      <c r="J9" s="2"/>
      <c r="K9" s="2"/>
      <c r="L9" s="2"/>
      <c r="M9" s="2"/>
      <c r="N9" s="2"/>
      <c r="O9" s="2"/>
      <c r="P9" s="2"/>
      <c r="Q9" s="2"/>
      <c r="R9" s="2"/>
      <c r="S9" s="2"/>
      <c r="T9" s="2"/>
      <c r="U9" s="2"/>
      <c r="V9" s="2"/>
      <c r="W9" s="2"/>
      <c r="X9" s="2"/>
      <c r="Y9" s="2"/>
      <c r="Z9" s="2"/>
    </row>
    <row r="10" ht="30.0" customHeight="1">
      <c r="A10" s="93" t="s">
        <v>657</v>
      </c>
      <c r="B10" s="94">
        <f>COUNTIFS('Catálogo'!$A$5:$A$201,"?*",'Catálogo'!$E$5:$E$201,"Must")</f>
        <v>12</v>
      </c>
      <c r="C10" s="95" t="s">
        <v>658</v>
      </c>
      <c r="D10" s="2"/>
      <c r="E10" s="2"/>
      <c r="F10" s="2"/>
      <c r="G10" s="2"/>
      <c r="H10" s="2"/>
      <c r="I10" s="2"/>
      <c r="J10" s="2"/>
      <c r="K10" s="2"/>
      <c r="L10" s="2"/>
      <c r="M10" s="2"/>
      <c r="N10" s="2"/>
      <c r="O10" s="2"/>
      <c r="P10" s="2"/>
      <c r="Q10" s="2"/>
      <c r="R10" s="2"/>
      <c r="S10" s="2"/>
      <c r="T10" s="2"/>
      <c r="U10" s="2"/>
      <c r="V10" s="2"/>
      <c r="W10" s="2"/>
      <c r="X10" s="2"/>
      <c r="Y10" s="2"/>
      <c r="Z10" s="2"/>
    </row>
    <row r="11" ht="30.0" customHeight="1">
      <c r="A11" s="93" t="s">
        <v>659</v>
      </c>
      <c r="B11" s="94">
        <f>COUNTIFS('Catálogo'!$A$5:$A$201,"?*",'Catálogo'!$K$5:$K$201,"Sí")</f>
        <v>12</v>
      </c>
      <c r="C11" s="95" t="s">
        <v>660</v>
      </c>
      <c r="D11" s="2"/>
      <c r="E11" s="2"/>
      <c r="F11" s="2"/>
      <c r="G11" s="2"/>
      <c r="H11" s="2"/>
      <c r="I11" s="2"/>
      <c r="J11" s="2"/>
      <c r="K11" s="2"/>
      <c r="L11" s="2"/>
      <c r="M11" s="2"/>
      <c r="N11" s="2"/>
      <c r="O11" s="2"/>
      <c r="P11" s="2"/>
      <c r="Q11" s="2"/>
      <c r="R11" s="2"/>
      <c r="S11" s="2"/>
      <c r="T11" s="2"/>
      <c r="U11" s="2"/>
      <c r="V11" s="2"/>
      <c r="W11" s="2"/>
      <c r="X11" s="2"/>
      <c r="Y11" s="2"/>
      <c r="Z11" s="2"/>
    </row>
    <row r="12" ht="30.0" customHeight="1">
      <c r="A12" s="93" t="s">
        <v>661</v>
      </c>
      <c r="B12" s="94" t="str">
        <f>IF(COUNTIFS('Catálogo'!$A$5:$A$201,"?*",'Catálogo'!$E$5:$E$201,"Must")=COUNTIFS('Catálogo'!$A$5:$A$201,"?*",'Catálogo'!$K$5:$K$201,"Sí"),"Coherente","REVISAR")</f>
        <v>Coherente</v>
      </c>
      <c r="C12" s="95" t="s">
        <v>662</v>
      </c>
      <c r="D12" s="2"/>
      <c r="E12" s="2"/>
      <c r="F12" s="2"/>
      <c r="G12" s="2"/>
      <c r="H12" s="2"/>
      <c r="I12" s="2"/>
      <c r="J12" s="2"/>
      <c r="K12" s="2"/>
      <c r="L12" s="2"/>
      <c r="M12" s="2"/>
      <c r="N12" s="2"/>
      <c r="O12" s="2"/>
      <c r="P12" s="2"/>
      <c r="Q12" s="2"/>
      <c r="R12" s="2"/>
      <c r="S12" s="2"/>
      <c r="T12" s="2"/>
      <c r="U12" s="2"/>
      <c r="V12" s="2"/>
      <c r="W12" s="2"/>
      <c r="X12" s="2"/>
      <c r="Y12" s="2"/>
      <c r="Z12" s="2"/>
    </row>
    <row r="13" ht="30.0" customHeight="1">
      <c r="A13" s="93" t="s">
        <v>663</v>
      </c>
      <c r="B13" s="94">
        <f>COUNTIFS('Catálogo'!$A$5:$A$201,"?*",'Catálogo'!$I$5:$I$201,"Validado")</f>
        <v>16</v>
      </c>
      <c r="C13" s="95" t="s">
        <v>664</v>
      </c>
      <c r="D13" s="2"/>
      <c r="E13" s="2"/>
      <c r="F13" s="2"/>
      <c r="G13" s="2"/>
      <c r="H13" s="2"/>
      <c r="I13" s="2"/>
      <c r="J13" s="2"/>
      <c r="K13" s="2"/>
      <c r="L13" s="2"/>
      <c r="M13" s="2"/>
      <c r="N13" s="2"/>
      <c r="O13" s="2"/>
      <c r="P13" s="2"/>
      <c r="Q13" s="2"/>
      <c r="R13" s="2"/>
      <c r="S13" s="2"/>
      <c r="T13" s="2"/>
      <c r="U13" s="2"/>
      <c r="V13" s="2"/>
      <c r="W13" s="2"/>
      <c r="X13" s="2"/>
      <c r="Y13" s="2"/>
      <c r="Z13" s="2"/>
    </row>
    <row r="14" ht="30.0" customHeight="1">
      <c r="A14" s="93" t="s">
        <v>665</v>
      </c>
      <c r="B14" s="94">
        <f>COUNTIF('Catálogo'!$L$5:$L$201,"Faltan campos")+COUNTIF('Catálogo'!$L$5:$L$201,"Falta categoría")+COUNTIF('Catálogo'!$L$5:$L$201,"Falta definir si integra el MVP")</f>
        <v>0</v>
      </c>
      <c r="C14" s="95" t="s">
        <v>666</v>
      </c>
      <c r="D14" s="2"/>
      <c r="E14" s="2"/>
      <c r="F14" s="2"/>
      <c r="G14" s="2"/>
      <c r="H14" s="2"/>
      <c r="I14" s="2"/>
      <c r="J14" s="2"/>
      <c r="K14" s="2"/>
      <c r="L14" s="2"/>
      <c r="M14" s="2"/>
      <c r="N14" s="2"/>
      <c r="O14" s="2"/>
      <c r="P14" s="2"/>
      <c r="Q14" s="2"/>
      <c r="R14" s="2"/>
      <c r="S14" s="2"/>
      <c r="T14" s="2"/>
      <c r="U14" s="2"/>
      <c r="V14" s="2"/>
      <c r="W14" s="2"/>
      <c r="X14" s="2"/>
      <c r="Y14" s="2"/>
      <c r="Z14" s="2"/>
    </row>
    <row r="15" ht="30.0" customHeight="1">
      <c r="A15" s="93" t="s">
        <v>667</v>
      </c>
      <c r="B15" s="94">
        <f>COUNTIF(Trazabilidad!$A$5:$A$61,"?*")</f>
        <v>21</v>
      </c>
      <c r="C15" s="95" t="s">
        <v>668</v>
      </c>
      <c r="D15" s="2"/>
      <c r="E15" s="2"/>
      <c r="F15" s="2"/>
      <c r="G15" s="2"/>
      <c r="H15" s="2"/>
      <c r="I15" s="2"/>
      <c r="J15" s="2"/>
      <c r="K15" s="2"/>
      <c r="L15" s="2"/>
      <c r="M15" s="2"/>
      <c r="N15" s="2"/>
      <c r="O15" s="2"/>
      <c r="P15" s="2"/>
      <c r="Q15" s="2"/>
      <c r="R15" s="2"/>
      <c r="S15" s="2"/>
      <c r="T15" s="2"/>
      <c r="U15" s="2"/>
      <c r="V15" s="2"/>
      <c r="W15" s="2"/>
      <c r="X15" s="2"/>
      <c r="Y15" s="2"/>
      <c r="Z15" s="2"/>
    </row>
    <row r="16" ht="30.0" customHeight="1">
      <c r="A16" s="93" t="s">
        <v>669</v>
      </c>
      <c r="B16" s="94">
        <f>COUNTIF(Trazabilidad!$F$5:$F$61,"Hallazgo sin destino")</f>
        <v>0</v>
      </c>
      <c r="C16" s="95" t="s">
        <v>670</v>
      </c>
      <c r="D16" s="2"/>
      <c r="E16" s="2"/>
      <c r="F16" s="2"/>
      <c r="G16" s="2"/>
      <c r="H16" s="2"/>
      <c r="I16" s="2"/>
      <c r="J16" s="2"/>
      <c r="K16" s="2"/>
      <c r="L16" s="2"/>
      <c r="M16" s="2"/>
      <c r="N16" s="2"/>
      <c r="O16" s="2"/>
      <c r="P16" s="2"/>
      <c r="Q16" s="2"/>
      <c r="R16" s="2"/>
      <c r="S16" s="2"/>
      <c r="T16" s="2"/>
      <c r="U16" s="2"/>
      <c r="V16" s="2"/>
      <c r="W16" s="2"/>
      <c r="X16" s="2"/>
      <c r="Y16" s="2"/>
      <c r="Z16" s="2"/>
    </row>
    <row r="17" ht="30.0" customHeight="1">
      <c r="A17" s="93" t="s">
        <v>671</v>
      </c>
      <c r="B17" s="94">
        <f>COUNTIF(Entidades!$E$5:$E$19,"Entidad")</f>
        <v>9</v>
      </c>
      <c r="C17" s="95" t="s">
        <v>672</v>
      </c>
      <c r="D17" s="2"/>
      <c r="E17" s="2"/>
      <c r="F17" s="2"/>
      <c r="G17" s="2"/>
      <c r="H17" s="2"/>
      <c r="I17" s="2"/>
      <c r="J17" s="2"/>
      <c r="K17" s="2"/>
      <c r="L17" s="2"/>
      <c r="M17" s="2"/>
      <c r="N17" s="2"/>
      <c r="O17" s="2"/>
      <c r="P17" s="2"/>
      <c r="Q17" s="2"/>
      <c r="R17" s="2"/>
      <c r="S17" s="2"/>
      <c r="T17" s="2"/>
      <c r="U17" s="2"/>
      <c r="V17" s="2"/>
      <c r="W17" s="2"/>
      <c r="X17" s="2"/>
      <c r="Y17" s="2"/>
      <c r="Z17" s="2"/>
    </row>
    <row r="18" ht="30.0" customHeight="1">
      <c r="A18" s="93" t="s">
        <v>673</v>
      </c>
      <c r="B18" s="94">
        <f>COUNTIF(Entidades!$A$5:$A$19,"?*")-COUNTIF(Entidades!$E$5:$E$19,"Entidad")</f>
        <v>6</v>
      </c>
      <c r="C18" s="95" t="s">
        <v>674</v>
      </c>
      <c r="D18" s="2"/>
      <c r="E18" s="2"/>
      <c r="F18" s="2"/>
      <c r="G18" s="2"/>
      <c r="H18" s="2"/>
      <c r="I18" s="2"/>
      <c r="J18" s="2"/>
      <c r="K18" s="2"/>
      <c r="L18" s="2"/>
      <c r="M18" s="2"/>
      <c r="N18" s="2"/>
      <c r="O18" s="2"/>
      <c r="P18" s="2"/>
      <c r="Q18" s="2"/>
      <c r="R18" s="2"/>
      <c r="S18" s="2"/>
      <c r="T18" s="2"/>
      <c r="U18" s="2"/>
      <c r="V18" s="2"/>
      <c r="W18" s="2"/>
      <c r="X18" s="2"/>
      <c r="Y18" s="2"/>
      <c r="Z18" s="2"/>
    </row>
    <row r="19" ht="30.0" customHeight="1">
      <c r="A19" s="93" t="s">
        <v>675</v>
      </c>
      <c r="B19" s="94">
        <f>COUNTIF(Reglas!$C$5:$C$40,"?*")</f>
        <v>7</v>
      </c>
      <c r="C19" s="95" t="s">
        <v>676</v>
      </c>
      <c r="D19" s="2"/>
      <c r="E19" s="2"/>
      <c r="F19" s="2"/>
      <c r="G19" s="2"/>
      <c r="H19" s="2"/>
      <c r="I19" s="2"/>
      <c r="J19" s="2"/>
      <c r="K19" s="2"/>
      <c r="L19" s="2"/>
      <c r="M19" s="2"/>
      <c r="N19" s="2"/>
      <c r="O19" s="2"/>
      <c r="P19" s="2"/>
      <c r="Q19" s="2"/>
      <c r="R19" s="2"/>
      <c r="S19" s="2"/>
      <c r="T19" s="2"/>
      <c r="U19" s="2"/>
      <c r="V19" s="2"/>
      <c r="W19" s="2"/>
      <c r="X19" s="2"/>
      <c r="Y19" s="2"/>
      <c r="Z19" s="2"/>
    </row>
    <row r="20" ht="30.0" customHeight="1">
      <c r="A20" s="93" t="s">
        <v>677</v>
      </c>
      <c r="B20" s="94">
        <f>COUNTIF(Reglas!$E$5:$E$40,"Pendiente")+COUNTIF(Reglas!$E$5:$E$40,"En disputa")</f>
        <v>0</v>
      </c>
      <c r="C20" s="95" t="s">
        <v>678</v>
      </c>
      <c r="D20" s="2"/>
      <c r="E20" s="2"/>
      <c r="F20" s="2"/>
      <c r="G20" s="2"/>
      <c r="H20" s="2"/>
      <c r="I20" s="2"/>
      <c r="J20" s="2"/>
      <c r="K20" s="2"/>
      <c r="L20" s="2"/>
      <c r="M20" s="2"/>
      <c r="N20" s="2"/>
      <c r="O20" s="2"/>
      <c r="P20" s="2"/>
      <c r="Q20" s="2"/>
      <c r="R20" s="2"/>
      <c r="S20" s="2"/>
      <c r="T20" s="2"/>
      <c r="U20" s="2"/>
      <c r="V20" s="2"/>
      <c r="W20" s="2"/>
      <c r="X20" s="2"/>
      <c r="Y20" s="2"/>
      <c r="Z20" s="2"/>
    </row>
    <row r="21" ht="30.0" customHeight="1">
      <c r="A21" s="93" t="s">
        <v>679</v>
      </c>
      <c r="B21" s="94">
        <f>COUNTIF(Glosario!$E$5:$E$45,"Sí")</f>
        <v>0</v>
      </c>
      <c r="C21" s="95" t="s">
        <v>680</v>
      </c>
      <c r="D21" s="2"/>
      <c r="E21" s="2"/>
      <c r="F21" s="2"/>
      <c r="G21" s="2"/>
      <c r="H21" s="2"/>
      <c r="I21" s="2"/>
      <c r="J21" s="2"/>
      <c r="K21" s="2"/>
      <c r="L21" s="2"/>
      <c r="M21" s="2"/>
      <c r="N21" s="2"/>
      <c r="O21" s="2"/>
      <c r="P21" s="2"/>
      <c r="Q21" s="2"/>
      <c r="R21" s="2"/>
      <c r="S21" s="2"/>
      <c r="T21" s="2"/>
      <c r="U21" s="2"/>
      <c r="V21" s="2"/>
      <c r="W21" s="2"/>
      <c r="X21" s="2"/>
      <c r="Y21" s="2"/>
      <c r="Z21" s="2"/>
    </row>
    <row r="22" ht="30.0" customHeight="1">
      <c r="A22" s="93" t="s">
        <v>681</v>
      </c>
      <c r="B22" s="94">
        <f>SUM(Iteraciones!$G$5:$G$12)</f>
        <v>200</v>
      </c>
      <c r="C22" s="95" t="s">
        <v>682</v>
      </c>
      <c r="D22" s="2"/>
      <c r="E22" s="2"/>
      <c r="F22" s="2"/>
      <c r="G22" s="2"/>
      <c r="H22" s="2"/>
      <c r="I22" s="2"/>
      <c r="J22" s="2"/>
      <c r="K22" s="2"/>
      <c r="L22" s="2"/>
      <c r="M22" s="2"/>
      <c r="N22" s="2"/>
      <c r="O22" s="2"/>
      <c r="P22" s="2"/>
      <c r="Q22" s="2"/>
      <c r="R22" s="2"/>
      <c r="S22" s="2"/>
      <c r="T22" s="2"/>
      <c r="U22" s="2"/>
      <c r="V22" s="2"/>
      <c r="W22" s="2"/>
      <c r="X22" s="2"/>
      <c r="Y22" s="2"/>
      <c r="Z22" s="2"/>
    </row>
    <row r="23" ht="126.0" customHeight="1">
      <c r="A23" s="93" t="s">
        <v>683</v>
      </c>
      <c r="B23" s="94" t="str">
        <f>Recursos!$G$71</f>
        <v>Coherente: las horas coinciden con las asignadas a las iteraciones (margen de contingencia del Capítulo V: 10 h)</v>
      </c>
      <c r="C23" s="95" t="s">
        <v>684</v>
      </c>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31" t="s">
        <v>685</v>
      </c>
      <c r="B25" s="2"/>
      <c r="C25" s="2"/>
      <c r="D25" s="2"/>
      <c r="E25" s="2"/>
      <c r="F25" s="2"/>
      <c r="G25" s="2"/>
      <c r="H25" s="2"/>
      <c r="I25" s="2"/>
      <c r="J25" s="2"/>
      <c r="K25" s="2"/>
      <c r="L25" s="2"/>
      <c r="M25" s="2"/>
      <c r="N25" s="2"/>
      <c r="O25" s="2"/>
      <c r="P25" s="2"/>
      <c r="Q25" s="2"/>
      <c r="R25" s="2"/>
      <c r="S25" s="2"/>
      <c r="T25" s="2"/>
      <c r="U25" s="2"/>
      <c r="V25" s="2"/>
      <c r="W25" s="2"/>
      <c r="X25" s="2"/>
      <c r="Y25" s="2"/>
      <c r="Z25" s="2"/>
    </row>
    <row r="26" ht="15.0" customHeight="1">
      <c r="A26" s="96" t="s">
        <v>686</v>
      </c>
      <c r="B26" s="97"/>
      <c r="C26" s="98"/>
      <c r="D26" s="2"/>
      <c r="E26" s="2"/>
      <c r="F26" s="2"/>
      <c r="G26" s="2"/>
      <c r="H26" s="2"/>
      <c r="I26" s="2"/>
      <c r="J26" s="2"/>
      <c r="K26" s="2"/>
      <c r="L26" s="2"/>
      <c r="M26" s="2"/>
      <c r="N26" s="2"/>
      <c r="O26" s="2"/>
      <c r="P26" s="2"/>
      <c r="Q26" s="2"/>
      <c r="R26" s="2"/>
      <c r="S26" s="2"/>
      <c r="T26" s="2"/>
      <c r="U26" s="2"/>
      <c r="V26" s="2"/>
      <c r="W26" s="2"/>
      <c r="X26" s="2"/>
      <c r="Y26" s="2"/>
      <c r="Z26" s="2"/>
    </row>
    <row r="27" ht="15.75" customHeight="1">
      <c r="A27" s="99"/>
      <c r="B27" s="100"/>
      <c r="C27" s="101"/>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mergeCells count="3">
    <mergeCell ref="A1:G1"/>
    <mergeCell ref="A2:G2"/>
    <mergeCell ref="A26:C27"/>
  </mergeCells>
  <printOptions/>
  <pageMargins bottom="1.0" footer="0.0" header="0.0" left="0.75" right="0.75" top="1.0"/>
  <pageSetup paperSize="9" orientation="portrait"/>
  <drawing r:id="rId1"/>
</worksheet>
</file>